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corecard" sheetId="2" state="visible" r:id="rId2"/>
    <sheet name="Trend" sheetId="3" state="visible" r:id="rId3"/>
    <sheet name="Monthly KPIs" sheetId="4" state="visible" r:id="rId4"/>
    <sheet name="Checks" sheetId="5" state="visible" r:id="rId5"/>
    <sheet name="KPI data" sheetId="6" state="visible" r:id="rId6"/>
    <sheet name="Plan" sheetId="7" state="visible" r:id="rId7"/>
    <sheet name="KPI catalog" sheetId="8" state="visible" r:id="rId8"/>
  </sheets>
  <definedNames>
    <definedName name="report_month">'Scorecard'!$D$5</definedName>
    <definedName name="scorecard_ids">'Scorecard'!$B$10:$B$15</definedName>
    <definedName name="scorecard_kpis">'Scorecard'!$C$10:$C$15</definedName>
    <definedName name="month_list">'Monthly KPIs'!$E$6:$AB$6</definedName>
    <definedName name="data_month">'KPI data'!$A$2:$A$492</definedName>
    <definedName name="data_kpi">'KPI data'!$B$2:$B$492</definedName>
    <definedName name="data_value">'KPI data'!$G$2:$G$492</definedName>
    <definedName name="plan_month">'Plan'!$A$2:$A$141</definedName>
    <definedName name="plan_kpi">'Plan'!$B$2:$B$141</definedName>
    <definedName name="plan_value">'Plan'!$D$2:$D$141</definedName>
    <definedName name="cat_id">'KPI catalog'!$A$2:$A$23</definedName>
    <definedName name="cat_name">'KPI catalog'!$B$2:$B$23</definedName>
    <definedName name="cat_owner">'KPI catalog'!$F$2:$F$23</definedName>
    <definedName name="cat_unit">'KPI catalog'!$G$2:$G$23</definedName>
    <definedName name="cat_direction">'KPI catalog'!$H$2:$H$23</definedName>
    <definedName name="cat_tolerance">'KPI catalog'!$I$2:$I$23</definedName>
    <definedName name="cat_target">'KPI catalog'!$J$2:$J$23</definedName>
    <definedName name="_xlnm._FilterDatabase" localSheetId="5" hidden="1">'KPI data'!$A$1:$G$492</definedName>
    <definedName name="_xlnm._FilterDatabase" localSheetId="6" hidden="1">'Plan'!$A$1:$E$141</definedName>
    <definedName name="_xlnm._FilterDatabase" localSheetId="7" hidden="1">'KPI catalog'!$A$1:$O$23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yyyy-mm-dd"/>
    <numFmt numFmtId="165" formatCode="mmm yyyy"/>
    <numFmt numFmtId="166" formatCode="0.0%"/>
    <numFmt numFmtId="167" formatCode="+#,##0;-#,##0;#,##0"/>
    <numFmt numFmtId="168" formatCode="&quot;RM&quot;#,##0.0,,&quot;m&quot;"/>
    <numFmt numFmtId="169" formatCode="+&quot;RM&quot;#,##0.0,,&quot;m&quot;;-&quot;RM&quot;#,##0.0,,&quot;m&quot;;&quot;RM&quot;#,##0.0,,&quot;m&quot;"/>
    <numFmt numFmtId="170" formatCode="+0.0%;-0.0%;0.0%"/>
    <numFmt numFmtId="171" formatCode="+0.00%;-0.00%;0.00%"/>
    <numFmt numFmtId="172" formatCode="&quot;RM&quot;#,##0.00"/>
    <numFmt numFmtId="173" formatCode="0.0"/>
    <numFmt numFmtId="174" formatCode="&quot;RM&quot;#,##0,&quot;k&quot;"/>
    <numFmt numFmtId="175" formatCode="0.0000%"/>
  </numFmts>
  <fonts count="12">
    <font>
      <name val="Arial"/>
      <sz val="10"/>
    </font>
    <font>
      <name val="Arial"/>
      <b val="1"/>
      <color rgb="000B0B0B"/>
      <sz val="18"/>
    </font>
    <font>
      <name val="Arial"/>
      <color rgb="0052514E"/>
      <sz val="10"/>
    </font>
    <font>
      <name val="Arial"/>
      <b val="1"/>
      <color rgb="000B0B0B"/>
      <sz val="10"/>
    </font>
    <font>
      <name val="Arial"/>
      <b val="1"/>
      <color rgb="000B0B0B"/>
      <sz val="12"/>
    </font>
    <font>
      <name val="Arial"/>
      <color rgb="000563C1"/>
      <sz val="10"/>
      <u val="single"/>
    </font>
    <font>
      <name val="Arial"/>
      <color rgb="000B0B0B"/>
      <sz val="10"/>
    </font>
    <font>
      <name val="Arial"/>
      <color rgb="000000FF"/>
      <sz val="10"/>
    </font>
    <font>
      <name val="Arial"/>
      <b val="1"/>
      <color rgb="000000FF"/>
      <sz val="10"/>
    </font>
    <font>
      <name val="Arial"/>
      <b val="1"/>
      <color rgb="000B0B0B"/>
      <sz val="16"/>
    </font>
    <font>
      <name val="Arial"/>
      <i val="1"/>
      <color rgb="0052514E"/>
      <sz val="10"/>
    </font>
    <font>
      <name val="Arial"/>
      <i val="1"/>
      <color rgb="00898781"/>
      <sz val="10"/>
    </font>
  </fonts>
  <fills count="7">
    <fill>
      <patternFill/>
    </fill>
    <fill>
      <patternFill patternType="gray125"/>
    </fill>
    <fill>
      <patternFill patternType="solid">
        <fgColor rgb="00FEF0CC"/>
      </patternFill>
    </fill>
    <fill>
      <patternFill patternType="solid">
        <fgColor rgb="00FFFF00"/>
      </patternFill>
    </fill>
    <fill>
      <patternFill patternType="solid">
        <fgColor rgb="00DDF2DD"/>
      </patternFill>
    </fill>
    <fill>
      <patternFill patternType="solid">
        <fgColor rgb="00F8DEDE"/>
      </patternFill>
    </fill>
    <fill>
      <patternFill patternType="solid">
        <fgColor rgb="00EDECE7"/>
      </patternFill>
    </fill>
  </fills>
  <borders count="3">
    <border>
      <left/>
      <right/>
      <top/>
      <bottom/>
      <diagonal/>
    </border>
    <border>
      <bottom style="thin">
        <color rgb="00C3C2B7"/>
      </bottom>
    </border>
    <border>
      <bottom style="hair">
        <color rgb="00C3C2B7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7" fillId="0" borderId="0" pivotButton="0" quotePrefix="0" xfId="0"/>
    <xf numFmtId="3" fontId="6" fillId="0" borderId="0" pivotButton="0" quotePrefix="0" xfId="0"/>
    <xf numFmtId="0" fontId="8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165" fontId="8" fillId="3" borderId="0" applyAlignment="1" pivotButton="0" quotePrefix="0" xfId="0">
      <alignment horizontal="center"/>
    </xf>
    <xf numFmtId="0" fontId="11" fillId="0" borderId="0" pivotButton="0" quotePrefix="0" xfId="0"/>
    <xf numFmtId="0" fontId="3" fillId="6" borderId="1" applyAlignment="1" pivotButton="0" quotePrefix="0" xfId="0">
      <alignment vertical="center" wrapText="1"/>
    </xf>
    <xf numFmtId="0" fontId="7" fillId="0" borderId="2" pivotButton="0" quotePrefix="0" xfId="0"/>
    <xf numFmtId="0" fontId="6" fillId="0" borderId="2" pivotButton="0" quotePrefix="0" xfId="0"/>
    <xf numFmtId="3" fontId="3" fillId="0" borderId="2" pivotButton="0" quotePrefix="0" xfId="0"/>
    <xf numFmtId="3" fontId="6" fillId="0" borderId="2" pivotButton="0" quotePrefix="0" xfId="0"/>
    <xf numFmtId="166" fontId="6" fillId="0" borderId="2" pivotButton="0" quotePrefix="0" xfId="0"/>
    <xf numFmtId="167" fontId="6" fillId="0" borderId="2" pivotButton="0" quotePrefix="0" xfId="0"/>
    <xf numFmtId="0" fontId="6" fillId="0" borderId="2" applyAlignment="1" pivotButton="0" quotePrefix="0" xfId="0">
      <alignment horizontal="center"/>
    </xf>
    <xf numFmtId="0" fontId="3" fillId="0" borderId="2" pivotButton="0" quotePrefix="0" xfId="0"/>
    <xf numFmtId="9" fontId="6" fillId="0" borderId="2" pivotButton="0" quotePrefix="0" xfId="0"/>
    <xf numFmtId="168" fontId="3" fillId="0" borderId="2" pivotButton="0" quotePrefix="0" xfId="0"/>
    <xf numFmtId="168" fontId="6" fillId="0" borderId="2" pivotButton="0" quotePrefix="0" xfId="0"/>
    <xf numFmtId="169" fontId="6" fillId="0" borderId="2" pivotButton="0" quotePrefix="0" xfId="0"/>
    <xf numFmtId="166" fontId="3" fillId="0" borderId="2" pivotButton="0" quotePrefix="0" xfId="0"/>
    <xf numFmtId="170" fontId="6" fillId="0" borderId="2" pivotButton="0" quotePrefix="0" xfId="0"/>
    <xf numFmtId="10" fontId="3" fillId="0" borderId="2" pivotButton="0" quotePrefix="0" xfId="0"/>
    <xf numFmtId="10" fontId="6" fillId="0" borderId="2" pivotButton="0" quotePrefix="0" xfId="0"/>
    <xf numFmtId="171" fontId="6" fillId="0" borderId="2" pivotButton="0" quotePrefix="0" xfId="0"/>
    <xf numFmtId="9" fontId="2" fillId="0" borderId="0" pivotButton="0" quotePrefix="0" xfId="0"/>
    <xf numFmtId="165" fontId="6" fillId="0" borderId="0" pivotButton="0" quotePrefix="0" xfId="0"/>
    <xf numFmtId="4" fontId="6" fillId="0" borderId="0" pivotButton="0" quotePrefix="0" xfId="0"/>
    <xf numFmtId="166" fontId="6" fillId="0" borderId="0" pivotButton="0" quotePrefix="0" xfId="0"/>
    <xf numFmtId="0" fontId="6" fillId="0" borderId="0" applyAlignment="1" pivotButton="0" quotePrefix="0" xfId="0">
      <alignment horizontal="center"/>
    </xf>
    <xf numFmtId="165" fontId="3" fillId="6" borderId="1" applyAlignment="1" pivotButton="0" quotePrefix="0" xfId="0">
      <alignment horizontal="right"/>
    </xf>
    <xf numFmtId="0" fontId="7" fillId="0" borderId="0" pivotButton="0" quotePrefix="0" xfId="0"/>
    <xf numFmtId="3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72" fontId="6" fillId="0" borderId="0" pivotButton="0" quotePrefix="0" xfId="0"/>
    <xf numFmtId="172" fontId="6" fillId="0" borderId="0" applyAlignment="1" pivotButton="0" quotePrefix="0" xfId="0">
      <alignment horizontal="right"/>
    </xf>
    <xf numFmtId="173" fontId="6" fillId="0" borderId="0" pivotButton="0" quotePrefix="0" xfId="0"/>
    <xf numFmtId="173" fontId="6" fillId="0" borderId="0" applyAlignment="1" pivotButton="0" quotePrefix="0" xfId="0">
      <alignment horizontal="right"/>
    </xf>
    <xf numFmtId="168" fontId="6" fillId="0" borderId="0" pivotButton="0" quotePrefix="0" xfId="0"/>
    <xf numFmtId="168" fontId="6" fillId="0" borderId="0" applyAlignment="1" pivotButton="0" quotePrefix="0" xfId="0">
      <alignment horizontal="right"/>
    </xf>
    <xf numFmtId="10" fontId="6" fillId="0" borderId="0" pivotButton="0" quotePrefix="0" xfId="0"/>
    <xf numFmtId="10" fontId="6" fillId="0" borderId="0" applyAlignment="1" pivotButton="0" quotePrefix="0" xfId="0">
      <alignment horizontal="right"/>
    </xf>
    <xf numFmtId="174" fontId="6" fillId="0" borderId="0" pivotButton="0" quotePrefix="0" xfId="0"/>
    <xf numFmtId="174" fontId="6" fillId="0" borderId="0" applyAlignment="1" pivotButton="0" quotePrefix="0" xfId="0">
      <alignment horizontal="right"/>
    </xf>
    <xf numFmtId="3" fontId="7" fillId="0" borderId="2" pivotButton="0" quotePrefix="0" xfId="0"/>
    <xf numFmtId="11" fontId="6" fillId="0" borderId="2" pivotButton="0" quotePrefix="0" xfId="0"/>
    <xf numFmtId="1" fontId="7" fillId="0" borderId="2" pivotButton="0" quotePrefix="0" xfId="0"/>
    <xf numFmtId="0" fontId="3" fillId="0" borderId="2" applyAlignment="1" pivotButton="0" quotePrefix="0" xfId="0">
      <alignment horizontal="center"/>
    </xf>
    <xf numFmtId="0" fontId="2" fillId="0" borderId="2" pivotButton="0" quotePrefix="0" xfId="0"/>
    <xf numFmtId="172" fontId="6" fillId="0" borderId="2" pivotButton="0" quotePrefix="0" xfId="0"/>
    <xf numFmtId="172" fontId="7" fillId="0" borderId="2" pivotButton="0" quotePrefix="0" xfId="0"/>
    <xf numFmtId="11" fontId="7" fillId="0" borderId="2" pivotButton="0" quotePrefix="0" xfId="0"/>
    <xf numFmtId="175" fontId="6" fillId="0" borderId="2" pivotButton="0" quotePrefix="0" xfId="0"/>
    <xf numFmtId="175" fontId="7" fillId="0" borderId="2" pivotButton="0" quotePrefix="0" xfId="0"/>
    <xf numFmtId="165" fontId="7" fillId="0" borderId="0" pivotButton="0" quotePrefix="0" xfId="0"/>
    <xf numFmtId="166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168" fontId="7" fillId="0" borderId="0" pivotButton="0" quotePrefix="0" xfId="0"/>
    <xf numFmtId="10" fontId="7" fillId="0" borderId="0" pivotButton="0" quotePrefix="0" xfId="0"/>
    <xf numFmtId="174" fontId="7" fillId="0" borderId="0" pivotButton="0" quotePrefix="0" xfId="0"/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9" fontId="7" fillId="0" borderId="0" applyAlignment="1" pivotButton="0" quotePrefix="0" xfId="0">
      <alignment vertical="top"/>
    </xf>
    <xf numFmtId="3" fontId="7" fillId="0" borderId="0" applyAlignment="1" pivotButton="0" quotePrefix="0" xfId="0">
      <alignment vertical="top"/>
    </xf>
    <xf numFmtId="166" fontId="7" fillId="0" borderId="0" applyAlignment="1" pivotButton="0" quotePrefix="0" xfId="0">
      <alignment vertical="top"/>
    </xf>
    <xf numFmtId="172" fontId="7" fillId="0" borderId="0" applyAlignment="1" pivotButton="0" quotePrefix="0" xfId="0">
      <alignment vertical="top"/>
    </xf>
    <xf numFmtId="173" fontId="7" fillId="0" borderId="0" applyAlignment="1" pivotButton="0" quotePrefix="0" xfId="0">
      <alignment vertical="top"/>
    </xf>
    <xf numFmtId="168" fontId="7" fillId="0" borderId="0" applyAlignment="1" pivotButton="0" quotePrefix="0" xfId="0">
      <alignment vertical="top"/>
    </xf>
    <xf numFmtId="10" fontId="7" fillId="0" borderId="0" applyAlignment="1" pivotButton="0" quotePrefix="0" xfId="0">
      <alignment vertical="top"/>
    </xf>
    <xf numFmtId="174" fontId="7" fillId="0" borderId="0" applyAlignment="1" pivotButton="0" quotePrefix="0" xfId="0">
      <alignment vertical="top"/>
    </xf>
  </cellXfs>
  <cellStyles count="1">
    <cellStyle name="Normal" xfId="0" builtinId="0" hidden="0"/>
  </cellStyles>
  <dxfs count="8">
    <dxf>
      <fill>
        <patternFill patternType="solid">
          <fgColor rgb="00DDF2DD"/>
        </patternFill>
      </fill>
    </dxf>
    <dxf>
      <fill>
        <patternFill patternType="solid">
          <fgColor rgb="00FEF0CC"/>
        </patternFill>
      </fill>
    </dxf>
    <dxf>
      <fill>
        <patternFill patternType="solid">
          <fgColor rgb="00F8DEDE"/>
        </patternFill>
      </fill>
    </dxf>
    <dxf>
      <font>
        <name val="Arial"/>
        <b val="1"/>
        <color rgb="000CA30C"/>
        <sz val="10"/>
      </font>
    </dxf>
    <dxf>
      <font>
        <name val="Arial"/>
        <b val="1"/>
        <color rgb="00D99400"/>
        <sz val="10"/>
      </font>
    </dxf>
    <dxf>
      <font>
        <name val="Arial"/>
        <b val="1"/>
        <color rgb="00D03B3B"/>
        <sz val="10"/>
      </font>
    </dxf>
    <dxf>
      <numFmt numFmtId="3" formatCode="#,##0"/>
    </dxf>
    <dxf>
      <fill>
        <patternFill patternType="solid">
          <fgColor rgb="00E3EE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strRef>
              <f>'Trend'!C13</f>
            </strRef>
          </tx>
          <spPr>
            <a:ln w="2857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'Trend'!$B$14:$B$33</f>
            </numRef>
          </cat>
          <val>
            <numRef>
              <f>'Trend'!$C$14:$C$33</f>
            </numRef>
          </val>
          <smooth val="0"/>
        </ser>
        <ser>
          <idx val="1"/>
          <order val="1"/>
          <tx>
            <strRef>
              <f>'Trend'!D13</f>
            </strRef>
          </tx>
          <spPr>
            <a:ln w="19050">
              <a:solidFill>
                <a:srgbClr val="898781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'Trend'!$B$14:$B$33</f>
            </numRef>
          </cat>
          <val>
            <numRef>
              <f>'Trend'!$D$14:$D$33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l"/>
        <numFmt formatCode="mmm yy" sourceLinked="0"/>
        <majorTickMark val="none"/>
        <minorTickMark val="none"/>
        <crossAx val="100"/>
        <majorTimeUnit val="months"/>
      </date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numFmt formatCode="General" sourceLinked="0"/>
        <majorTickMark val="none"/>
        <minorTickMark val="none"/>
        <crossAx val="50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Kelip Bank BI</author>
  </authors>
  <commentList>
    <comment ref="A1" authorId="0" shapeId="0">
      <text>
        <t>Source: kpi.kpi_monthly. Exported by src/export/excel_pack.py.</t>
      </text>
    </comment>
  </commentList>
</comments>
</file>

<file path=xl/comments/comment2.xml><?xml version="1.0" encoding="utf-8"?>
<comments xmlns="http://schemas.openxmlformats.org/spreadsheetml/2006/main">
  <authors>
    <author>Kelip Bank BI</author>
  </authors>
  <commentList>
    <comment ref="A1" authorId="0" shapeId="0">
      <text>
        <t>Source: reference.plan_targets. Exported by src/export/excel_pack.py.</t>
      </text>
    </comment>
  </commentList>
</comments>
</file>

<file path=xl/comments/comment3.xml><?xml version="1.0" encoding="utf-8"?>
<comments xmlns="http://schemas.openxmlformats.org/spreadsheetml/2006/main">
  <authors>
    <author>Kelip Bank BI</author>
  </authors>
  <commentList>
    <comment ref="A1" authorId="0" shapeId="0">
      <text>
        <t>Source: reference.kpi_catalog. Exported by src/export/excel_pack.py.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00" customWidth="1" min="3" max="3"/>
  </cols>
  <sheetData>
    <row r="2">
      <c r="B2" s="1" t="inlineStr">
        <is>
          <t>Kelip Bank KPI pack</t>
        </is>
      </c>
    </row>
    <row r="3">
      <c r="B3" s="2" t="inlineStr">
        <is>
          <t>Monthly KPIs from September 2024 to August 2026, with a scorecard against plan.</t>
        </is>
      </c>
    </row>
    <row r="5">
      <c r="B5" s="3" t="inlineStr">
        <is>
          <t>Synthetic data. Kelip Bank is a fictional Malaysian digital bank; every customer, account and figure in this workbook is simulated.</t>
        </is>
      </c>
    </row>
    <row r="7">
      <c r="B7" s="4" t="inlineStr">
        <is>
          <t>What is in the pack</t>
        </is>
      </c>
    </row>
    <row r="8">
      <c r="B8" s="5" t="inlineStr">
        <is>
          <t>Scorecard</t>
        </is>
      </c>
      <c r="C8" s="6" t="inlineStr">
        <is>
          <t>The six plan KPIs for a month you pick: actual, plan, % of plan, status and change on the month before.</t>
        </is>
      </c>
    </row>
    <row r="9">
      <c r="B9" s="5" t="inlineStr">
        <is>
          <t>Trend</t>
        </is>
      </c>
      <c r="C9" s="6" t="inlineStr">
        <is>
          <t>One scorecard KPI against plan by month, January 2025 to August 2026, with a chart.</t>
        </is>
      </c>
    </row>
    <row r="10">
      <c r="B10" s="5" t="inlineStr">
        <is>
          <t>Monthly KPIs</t>
        </is>
      </c>
      <c r="C10" s="6" t="inlineStr">
        <is>
          <t>All 22 KPIs for all 24 months. The month picked on Scorecard is shaded.</t>
        </is>
      </c>
    </row>
    <row r="11">
      <c r="B11" s="5" t="inlineStr">
        <is>
          <t>Checks</t>
        </is>
      </c>
      <c r="C11" s="6" t="inlineStr">
        <is>
          <t>The pack's totals tied to control totals computed separately in SQL. Every row should say PASS.</t>
        </is>
      </c>
    </row>
    <row r="12">
      <c r="B12" s="5" t="inlineStr">
        <is>
          <t>KPI data</t>
        </is>
      </c>
      <c r="C12" s="6" t="inlineStr">
        <is>
          <t>One row per KPI per month, exported from kpi.kpi_monthly.</t>
        </is>
      </c>
    </row>
    <row r="13">
      <c r="B13" s="5" t="inlineStr">
        <is>
          <t>Plan</t>
        </is>
      </c>
      <c r="C13" s="6" t="inlineStr">
        <is>
          <t>The monthly plan for the six scorecard KPIs, from reference.plan_targets.</t>
        </is>
      </c>
    </row>
    <row r="14">
      <c r="B14" s="5" t="inlineStr">
        <is>
          <t>KPI catalog</t>
        </is>
      </c>
      <c r="C14" s="6" t="inlineStr">
        <is>
          <t>Each KPI's definition, formula, owner, unit, direction and amber band.</t>
        </is>
      </c>
    </row>
    <row r="16">
      <c r="B16" s="4" t="inlineStr">
        <is>
          <t>How to use it</t>
        </is>
      </c>
    </row>
    <row r="17">
      <c r="B17" s="6" t="inlineStr">
        <is>
          <t>1. On Scorecard, pick a reporting month in the yellow cell. Status, variances and the headline update.</t>
        </is>
      </c>
    </row>
    <row r="18">
      <c r="B18" s="6" t="inlineStr">
        <is>
          <t>2. On Trend, pick one of the six scorecard KPIs in the yellow cell. The table and chart update.</t>
        </is>
      </c>
    </row>
    <row r="19">
      <c r="B19" s="6" t="inlineStr">
        <is>
          <t>3. Look at Checks: every row should say PASS. After pasting a newer export into the data sheets, the checks show whether the formulas still tie out.</t>
        </is>
      </c>
    </row>
    <row r="21">
      <c r="B21" s="4" t="inlineStr">
        <is>
          <t>Colour key</t>
        </is>
      </c>
    </row>
    <row r="22">
      <c r="B22" s="7" t="n">
        <v>1234</v>
      </c>
      <c r="C22" s="6" t="inlineStr">
        <is>
          <t>Blue text: data exported from the warehouse, or a control total computed in SQL</t>
        </is>
      </c>
    </row>
    <row r="23">
      <c r="B23" s="8">
        <f>B22*2</f>
        <v/>
      </c>
      <c r="C23" s="6" t="inlineStr">
        <is>
          <t>Black text: a formula</t>
        </is>
      </c>
    </row>
    <row r="24">
      <c r="B24" s="9" t="inlineStr">
        <is>
          <t>Pick me</t>
        </is>
      </c>
      <c r="C24" s="6" t="inlineStr">
        <is>
          <t>Yellow cell: a choice you can change</t>
        </is>
      </c>
    </row>
    <row r="25">
      <c r="B25" s="10" t="inlineStr">
        <is>
          <t>▲ On plan</t>
        </is>
      </c>
      <c r="C25" s="6" t="inlineStr">
        <is>
          <t>At plan or better</t>
        </is>
      </c>
    </row>
    <row r="26">
      <c r="B26" s="3" t="inlineStr">
        <is>
          <t>● Watch</t>
        </is>
      </c>
      <c r="C26" s="6" t="inlineStr">
        <is>
          <t>Worse than plan, but within the KPI's amber band</t>
        </is>
      </c>
    </row>
    <row r="27">
      <c r="B27" s="11" t="inlineStr">
        <is>
          <t>▼ Off plan</t>
        </is>
      </c>
      <c r="C27" s="6" t="inlineStr">
        <is>
          <t>Worse than plan by more than the amber band</t>
        </is>
      </c>
    </row>
    <row r="29">
      <c r="B29" s="4" t="inlineStr">
        <is>
          <t>About the data</t>
        </is>
      </c>
    </row>
    <row r="30">
      <c r="B30" s="2" t="inlineStr">
        <is>
          <t>Built by src/export/excel_pack.py from the DuckDB warehouse: kpi.kpi_monthly, reference.plan_targets and reference.kpi_catalog.</t>
        </is>
      </c>
    </row>
    <row r="31">
      <c r="B31" s="2" t="inlineStr">
        <is>
          <t>Data to 31 August 2026. Rebuild the warehouse and this pack with: python run_pipeline.py</t>
        </is>
      </c>
    </row>
    <row r="32">
      <c r="B32" s="2" t="inlineStr">
        <is>
          <t>The formulas use only functions that Excel 2007 or later and LibreOffice both calculate.</t>
        </is>
      </c>
    </row>
  </sheetData>
  <mergeCells count="7">
    <mergeCell ref="B30:C30"/>
    <mergeCell ref="B19:C19"/>
    <mergeCell ref="B5:C5"/>
    <mergeCell ref="B32:C32"/>
    <mergeCell ref="B31:C31"/>
    <mergeCell ref="B17:C17"/>
    <mergeCell ref="B18:C18"/>
  </mergeCells>
  <hyperlinks>
    <hyperlink ref="B8" location="'Scorecard'!A1" display="Scorecard"/>
    <hyperlink ref="B9" location="'Trend'!A1" display="Trend"/>
    <hyperlink ref="B10" location="'Monthly KPIs'!A1" display="Monthly KPIs"/>
    <hyperlink ref="B11" location="'Checks'!A1" display="Checks"/>
    <hyperlink ref="B12" location="'KPI data'!A1" display="KPI data"/>
    <hyperlink ref="B13" location="'Plan'!A1" display="Plan"/>
    <hyperlink ref="B14" location="'KPI catalog'!A1" display="KPI catalog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N2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8" customWidth="1" min="2" max="2"/>
    <col width="25" customWidth="1" min="3" max="3"/>
    <col width="20" customWidth="1" min="4" max="4"/>
    <col width="13" customWidth="1" min="5" max="5"/>
    <col width="13" customWidth="1" min="6" max="6"/>
    <col width="10" customWidth="1" min="7" max="7"/>
    <col width="14" customWidth="1" min="8" max="8"/>
    <col width="4" customWidth="1" min="9" max="9"/>
    <col width="10" customWidth="1" min="10" max="10"/>
    <col width="13" customWidth="1" min="11" max="11"/>
    <col width="13" customWidth="1" min="12" max="12"/>
    <col width="11" customWidth="1" min="13" max="13"/>
    <col width="10" customWidth="1" min="14" max="14"/>
  </cols>
  <sheetData>
    <row r="2">
      <c r="B2" s="12" t="inlineStr">
        <is>
          <t>Monthly KPI scorecard</t>
        </is>
      </c>
    </row>
    <row r="3">
      <c r="B3" s="13" t="inlineStr">
        <is>
          <t>Synthetic data: Kelip Bank is a fictional Malaysian digital bank, and every figure is simulated.</t>
        </is>
      </c>
    </row>
    <row r="5">
      <c r="B5" s="14" t="inlineStr">
        <is>
          <t>Reporting month</t>
        </is>
      </c>
      <c r="D5" s="15" t="n">
        <v>46235</v>
      </c>
      <c r="E5" s="16" t="inlineStr">
        <is>
          <t>Pick a month from the list in the yellow cell.</t>
        </is>
      </c>
    </row>
    <row r="7">
      <c r="B7" s="4">
        <f>COUNTIF($J$10:$J$15,"On plan")&amp;" of "&amp;ROWS($J$10:$J$15)&amp;" KPIs on plan in "&amp;TEXT(report_month,"mmmm yyyy")&amp;": "&amp;COUNTIF($J$10:$J$15,"Watch")&amp;" to watch, "&amp;COUNTIF($J$10:$J$15,"Off plan")&amp;" off plan."</f>
        <v/>
      </c>
    </row>
    <row r="9">
      <c r="B9" s="17" t="inlineStr">
        <is>
          <t>KPI id</t>
        </is>
      </c>
      <c r="C9" s="17" t="inlineStr">
        <is>
          <t>KPI</t>
        </is>
      </c>
      <c r="D9" s="17" t="inlineStr">
        <is>
          <t>Owner</t>
        </is>
      </c>
      <c r="E9" s="17" t="inlineStr">
        <is>
          <t>Actual</t>
        </is>
      </c>
      <c r="F9" s="17" t="inlineStr">
        <is>
          <t>Plan</t>
        </is>
      </c>
      <c r="G9" s="17" t="inlineStr">
        <is>
          <t>% of plan</t>
        </is>
      </c>
      <c r="H9" s="17" t="inlineStr">
        <is>
          <t>Variance to plan</t>
        </is>
      </c>
      <c r="I9" s="17" t="inlineStr"/>
      <c r="J9" s="17" t="inlineStr">
        <is>
          <t>Status</t>
        </is>
      </c>
      <c r="K9" s="17" t="inlineStr">
        <is>
          <t>Prior month</t>
        </is>
      </c>
      <c r="L9" s="17" t="inlineStr">
        <is>
          <t>Change on prior month</t>
        </is>
      </c>
      <c r="M9" s="17" t="inlineStr">
        <is>
          <t>Better when</t>
        </is>
      </c>
      <c r="N9" s="17" t="inlineStr">
        <is>
          <t>Amber band</t>
        </is>
      </c>
    </row>
    <row r="10">
      <c r="B10" s="18" t="inlineStr">
        <is>
          <t>K02</t>
        </is>
      </c>
      <c r="C10" s="19">
        <f>INDEX(cat_name,MATCH($B10,cat_id,0))</f>
        <v/>
      </c>
      <c r="D10" s="19">
        <f>INDEX(cat_owner,MATCH($B10,cat_id,0))</f>
        <v/>
      </c>
      <c r="E10" s="20">
        <f>IF(COUNTIFS(data_kpi,$B10,data_month,report_month)=0,"",SUMIFS(data_value,data_kpi,$B10,data_month,report_month))</f>
        <v/>
      </c>
      <c r="F10" s="21">
        <f>IF(COUNTIFS(plan_kpi,$B10,plan_month,report_month)=0,"",SUMIFS(plan_value,plan_kpi,$B10,plan_month,report_month))</f>
        <v/>
      </c>
      <c r="G10" s="22">
        <f>IF(OR(E10="",F10=""),"",IF(F10=0,"",E10/F10))</f>
        <v/>
      </c>
      <c r="H10" s="23">
        <f>IF(OR(E10="",F10=""),"",E10-F10)</f>
        <v/>
      </c>
      <c r="I10" s="24">
        <f>IF(J10="On plan","▲",IF(J10="Watch","●",IF(J10="Off plan","▼","")))</f>
        <v/>
      </c>
      <c r="J10" s="25">
        <f>IF(OR(E10="",F10=""),"No plan",IF($M10="higher",IF(E10&gt;=F10,"On plan",IF(E10&gt;=F10*(1-$N10),"Watch","Off plan")),IF(E10&lt;=F10,"On plan",IF(E10&lt;=F10*(1+$N10),"Watch","Off plan"))))</f>
        <v/>
      </c>
      <c r="K10" s="21">
        <f>IF(COUNTIFS(data_kpi,$B10,data_month,EDATE(report_month,-1))=0,"",SUMIFS(data_value,data_kpi,$B10,data_month,EDATE(report_month,-1)))</f>
        <v/>
      </c>
      <c r="L10" s="19">
        <f>IF(OR(E10="",K10=""),"",IF(ABS(E10-K10)&lt;=ABS(K10)*0.001,"Flat",IF((E10&gt;K10)=($M10="higher"),"Better","Worse")))</f>
        <v/>
      </c>
      <c r="M10" s="19">
        <f>INDEX(cat_direction,MATCH($B10,cat_id,0))</f>
        <v/>
      </c>
      <c r="N10" s="26">
        <f>INDEX(cat_tolerance,MATCH($B10,cat_id,0))</f>
        <v/>
      </c>
    </row>
    <row r="11">
      <c r="B11" s="18" t="inlineStr">
        <is>
          <t>K07</t>
        </is>
      </c>
      <c r="C11" s="19">
        <f>INDEX(cat_name,MATCH($B11,cat_id,0))</f>
        <v/>
      </c>
      <c r="D11" s="19">
        <f>INDEX(cat_owner,MATCH($B11,cat_id,0))</f>
        <v/>
      </c>
      <c r="E11" s="20">
        <f>IF(COUNTIFS(data_kpi,$B11,data_month,report_month)=0,"",SUMIFS(data_value,data_kpi,$B11,data_month,report_month))</f>
        <v/>
      </c>
      <c r="F11" s="21">
        <f>IF(COUNTIFS(plan_kpi,$B11,plan_month,report_month)=0,"",SUMIFS(plan_value,plan_kpi,$B11,plan_month,report_month))</f>
        <v/>
      </c>
      <c r="G11" s="22">
        <f>IF(OR(E11="",F11=""),"",IF(F11=0,"",E11/F11))</f>
        <v/>
      </c>
      <c r="H11" s="23">
        <f>IF(OR(E11="",F11=""),"",E11-F11)</f>
        <v/>
      </c>
      <c r="I11" s="24">
        <f>IF(J11="On plan","▲",IF(J11="Watch","●",IF(J11="Off plan","▼","")))</f>
        <v/>
      </c>
      <c r="J11" s="25">
        <f>IF(OR(E11="",F11=""),"No plan",IF($M11="higher",IF(E11&gt;=F11,"On plan",IF(E11&gt;=F11*(1-$N11),"Watch","Off plan")),IF(E11&lt;=F11,"On plan",IF(E11&lt;=F11*(1+$N11),"Watch","Off plan"))))</f>
        <v/>
      </c>
      <c r="K11" s="21">
        <f>IF(COUNTIFS(data_kpi,$B11,data_month,EDATE(report_month,-1))=0,"",SUMIFS(data_value,data_kpi,$B11,data_month,EDATE(report_month,-1)))</f>
        <v/>
      </c>
      <c r="L11" s="19">
        <f>IF(OR(E11="",K11=""),"",IF(ABS(E11-K11)&lt;=ABS(K11)*0.001,"Flat",IF((E11&gt;K11)=($M11="higher"),"Better","Worse")))</f>
        <v/>
      </c>
      <c r="M11" s="19">
        <f>INDEX(cat_direction,MATCH($B11,cat_id,0))</f>
        <v/>
      </c>
      <c r="N11" s="26">
        <f>INDEX(cat_tolerance,MATCH($B11,cat_id,0))</f>
        <v/>
      </c>
    </row>
    <row r="12">
      <c r="B12" s="18" t="inlineStr">
        <is>
          <t>K13</t>
        </is>
      </c>
      <c r="C12" s="19">
        <f>INDEX(cat_name,MATCH($B12,cat_id,0))</f>
        <v/>
      </c>
      <c r="D12" s="19">
        <f>INDEX(cat_owner,MATCH($B12,cat_id,0))</f>
        <v/>
      </c>
      <c r="E12" s="27">
        <f>IF(COUNTIFS(data_kpi,$B12,data_month,report_month)=0,"",SUMIFS(data_value,data_kpi,$B12,data_month,report_month))</f>
        <v/>
      </c>
      <c r="F12" s="28">
        <f>IF(COUNTIFS(plan_kpi,$B12,plan_month,report_month)=0,"",SUMIFS(plan_value,plan_kpi,$B12,plan_month,report_month))</f>
        <v/>
      </c>
      <c r="G12" s="22">
        <f>IF(OR(E12="",F12=""),"",IF(F12=0,"",E12/F12))</f>
        <v/>
      </c>
      <c r="H12" s="29">
        <f>IF(OR(E12="",F12=""),"",E12-F12)</f>
        <v/>
      </c>
      <c r="I12" s="24">
        <f>IF(J12="On plan","▲",IF(J12="Watch","●",IF(J12="Off plan","▼","")))</f>
        <v/>
      </c>
      <c r="J12" s="25">
        <f>IF(OR(E12="",F12=""),"No plan",IF($M12="higher",IF(E12&gt;=F12,"On plan",IF(E12&gt;=F12*(1-$N12),"Watch","Off plan")),IF(E12&lt;=F12,"On plan",IF(E12&lt;=F12*(1+$N12),"Watch","Off plan"))))</f>
        <v/>
      </c>
      <c r="K12" s="28">
        <f>IF(COUNTIFS(data_kpi,$B12,data_month,EDATE(report_month,-1))=0,"",SUMIFS(data_value,data_kpi,$B12,data_month,EDATE(report_month,-1)))</f>
        <v/>
      </c>
      <c r="L12" s="19">
        <f>IF(OR(E12="",K12=""),"",IF(ABS(E12-K12)&lt;=ABS(K12)*0.001,"Flat",IF((E12&gt;K12)=($M12="higher"),"Better","Worse")))</f>
        <v/>
      </c>
      <c r="M12" s="19">
        <f>INDEX(cat_direction,MATCH($B12,cat_id,0))</f>
        <v/>
      </c>
      <c r="N12" s="26">
        <f>INDEX(cat_tolerance,MATCH($B12,cat_id,0))</f>
        <v/>
      </c>
    </row>
    <row r="13">
      <c r="B13" s="18" t="inlineStr">
        <is>
          <t>K14</t>
        </is>
      </c>
      <c r="C13" s="19">
        <f>INDEX(cat_name,MATCH($B13,cat_id,0))</f>
        <v/>
      </c>
      <c r="D13" s="19">
        <f>INDEX(cat_owner,MATCH($B13,cat_id,0))</f>
        <v/>
      </c>
      <c r="E13" s="30">
        <f>IF(COUNTIFS(data_kpi,$B13,data_month,report_month)=0,"",SUMIFS(data_value,data_kpi,$B13,data_month,report_month))</f>
        <v/>
      </c>
      <c r="F13" s="22">
        <f>IF(COUNTIFS(plan_kpi,$B13,plan_month,report_month)=0,"",SUMIFS(plan_value,plan_kpi,$B13,plan_month,report_month))</f>
        <v/>
      </c>
      <c r="G13" s="22">
        <f>IF(OR(E13="",F13=""),"",IF(F13=0,"",E13/F13))</f>
        <v/>
      </c>
      <c r="H13" s="31">
        <f>IF(OR(E13="",F13=""),"",E13-F13)</f>
        <v/>
      </c>
      <c r="I13" s="24">
        <f>IF(J13="On plan","▲",IF(J13="Watch","●",IF(J13="Off plan","▼","")))</f>
        <v/>
      </c>
      <c r="J13" s="25">
        <f>IF(OR(E13="",F13=""),"No plan",IF($M13="higher",IF(E13&gt;=F13,"On plan",IF(E13&gt;=F13*(1-$N13),"Watch","Off plan")),IF(E13&lt;=F13,"On plan",IF(E13&lt;=F13*(1+$N13),"Watch","Off plan"))))</f>
        <v/>
      </c>
      <c r="K13" s="22">
        <f>IF(COUNTIFS(data_kpi,$B13,data_month,EDATE(report_month,-1))=0,"",SUMIFS(data_value,data_kpi,$B13,data_month,EDATE(report_month,-1)))</f>
        <v/>
      </c>
      <c r="L13" s="19">
        <f>IF(OR(E13="",K13=""),"",IF(ABS(E13-K13)&lt;=ABS(K13)*0.001,"Flat",IF((E13&gt;K13)=($M13="higher"),"Better","Worse")))</f>
        <v/>
      </c>
      <c r="M13" s="19">
        <f>INDEX(cat_direction,MATCH($B13,cat_id,0))</f>
        <v/>
      </c>
      <c r="N13" s="26">
        <f>INDEX(cat_tolerance,MATCH($B13,cat_id,0))</f>
        <v/>
      </c>
    </row>
    <row r="14">
      <c r="B14" s="18" t="inlineStr">
        <is>
          <t>K15</t>
        </is>
      </c>
      <c r="C14" s="19">
        <f>INDEX(cat_name,MATCH($B14,cat_id,0))</f>
        <v/>
      </c>
      <c r="D14" s="19">
        <f>INDEX(cat_owner,MATCH($B14,cat_id,0))</f>
        <v/>
      </c>
      <c r="E14" s="32">
        <f>IF(COUNTIFS(data_kpi,$B14,data_month,report_month)=0,"",SUMIFS(data_value,data_kpi,$B14,data_month,report_month))</f>
        <v/>
      </c>
      <c r="F14" s="33">
        <f>IF(COUNTIFS(plan_kpi,$B14,plan_month,report_month)=0,"",SUMIFS(plan_value,plan_kpi,$B14,plan_month,report_month))</f>
        <v/>
      </c>
      <c r="G14" s="22">
        <f>IF(OR(E14="",F14=""),"",IF(F14=0,"",E14/F14))</f>
        <v/>
      </c>
      <c r="H14" s="34">
        <f>IF(OR(E14="",F14=""),"",E14-F14)</f>
        <v/>
      </c>
      <c r="I14" s="24">
        <f>IF(J14="On plan","▲",IF(J14="Watch","●",IF(J14="Off plan","▼","")))</f>
        <v/>
      </c>
      <c r="J14" s="25">
        <f>IF(OR(E14="",F14=""),"No plan",IF($M14="higher",IF(E14&gt;=F14,"On plan",IF(E14&gt;=F14*(1-$N14),"Watch","Off plan")),IF(E14&lt;=F14,"On plan",IF(E14&lt;=F14*(1+$N14),"Watch","Off plan"))))</f>
        <v/>
      </c>
      <c r="K14" s="33">
        <f>IF(COUNTIFS(data_kpi,$B14,data_month,EDATE(report_month,-1))=0,"",SUMIFS(data_value,data_kpi,$B14,data_month,EDATE(report_month,-1)))</f>
        <v/>
      </c>
      <c r="L14" s="19">
        <f>IF(OR(E14="",K14=""),"",IF(ABS(E14-K14)&lt;=ABS(K14)*0.001,"Flat",IF((E14&gt;K14)=($M14="higher"),"Better","Worse")))</f>
        <v/>
      </c>
      <c r="M14" s="19">
        <f>INDEX(cat_direction,MATCH($B14,cat_id,0))</f>
        <v/>
      </c>
      <c r="N14" s="26">
        <f>INDEX(cat_tolerance,MATCH($B14,cat_id,0))</f>
        <v/>
      </c>
    </row>
    <row r="15">
      <c r="B15" s="18" t="inlineStr">
        <is>
          <t>K19</t>
        </is>
      </c>
      <c r="C15" s="19">
        <f>INDEX(cat_name,MATCH($B15,cat_id,0))</f>
        <v/>
      </c>
      <c r="D15" s="19">
        <f>INDEX(cat_owner,MATCH($B15,cat_id,0))</f>
        <v/>
      </c>
      <c r="E15" s="32">
        <f>IF(COUNTIFS(data_kpi,$B15,data_month,report_month)=0,"",SUMIFS(data_value,data_kpi,$B15,data_month,report_month))</f>
        <v/>
      </c>
      <c r="F15" s="33">
        <f>IF(COUNTIFS(plan_kpi,$B15,plan_month,report_month)=0,"",SUMIFS(plan_value,plan_kpi,$B15,plan_month,report_month))</f>
        <v/>
      </c>
      <c r="G15" s="22">
        <f>IF(OR(E15="",F15=""),"",IF(F15=0,"",E15/F15))</f>
        <v/>
      </c>
      <c r="H15" s="34">
        <f>IF(OR(E15="",F15=""),"",E15-F15)</f>
        <v/>
      </c>
      <c r="I15" s="24">
        <f>IF(J15="On plan","▲",IF(J15="Watch","●",IF(J15="Off plan","▼","")))</f>
        <v/>
      </c>
      <c r="J15" s="25">
        <f>IF(OR(E15="",F15=""),"No plan",IF($M15="higher",IF(E15&gt;=F15,"On plan",IF(E15&gt;=F15*(1-$N15),"Watch","Off plan")),IF(E15&lt;=F15,"On plan",IF(E15&lt;=F15*(1+$N15),"Watch","Off plan"))))</f>
        <v/>
      </c>
      <c r="K15" s="33">
        <f>IF(COUNTIFS(data_kpi,$B15,data_month,EDATE(report_month,-1))=0,"",SUMIFS(data_value,data_kpi,$B15,data_month,EDATE(report_month,-1)))</f>
        <v/>
      </c>
      <c r="L15" s="19">
        <f>IF(OR(E15="",K15=""),"",IF(ABS(E15-K15)&lt;=ABS(K15)*0.001,"Flat",IF((E15&gt;K15)=($M15="higher"),"Better","Worse")))</f>
        <v/>
      </c>
      <c r="M15" s="19">
        <f>INDEX(cat_direction,MATCH($B15,cat_id,0))</f>
        <v/>
      </c>
      <c r="N15" s="26">
        <f>INDEX(cat_tolerance,MATCH($B15,cat_id,0))</f>
        <v/>
      </c>
    </row>
    <row r="18">
      <c r="B18" s="14" t="inlineStr">
        <is>
          <t>How status works</t>
        </is>
      </c>
    </row>
    <row r="19">
      <c r="B19" s="2" t="inlineStr">
        <is>
          <t>▲ On plan: at plan or better.  ● Watch: worse than plan, but within the amber band.  ▼ Off plan: worse than plan by more than the amber band.</t>
        </is>
      </c>
    </row>
    <row r="20">
      <c r="B20" s="2" t="inlineStr">
        <is>
          <t>Better when says which way is good: higher for customers and deposits, lower for cost of funds and PAR30. The amber band is a share of plan (5% of a 80.0% CASA plan is 4.0 points).</t>
        </is>
      </c>
    </row>
    <row r="21">
      <c r="B21" s="2" t="inlineStr">
        <is>
          <t>Change on prior month is Flat when the KPI moved by 0.1% of its value or less. For ratios, the variance to plan is in percentage points.</t>
        </is>
      </c>
    </row>
    <row r="22">
      <c r="B22" s="2" t="inlineStr">
        <is>
          <t>Status always shows as an icon and a word as well as a colour, so it reads the same in print and for colour-blind readers.</t>
        </is>
      </c>
    </row>
    <row r="23">
      <c r="B23" s="2" t="inlineStr">
        <is>
          <t>Source: kpi.kpi_monthly and reference.plan_targets in the warehouse. Every figure on this sheet is a formula on the KPI data, Plan and KPI catalog sheets.</t>
        </is>
      </c>
    </row>
  </sheetData>
  <mergeCells count="1">
    <mergeCell ref="B5:C5"/>
  </mergeCells>
  <conditionalFormatting sqref="J10:J15">
    <cfRule type="expression" priority="1" dxfId="0">
      <formula>$J10="On plan"</formula>
    </cfRule>
    <cfRule type="expression" priority="3" dxfId="1">
      <formula>$J10="Watch"</formula>
    </cfRule>
    <cfRule type="expression" priority="5" dxfId="2">
      <formula>$J10="Off plan"</formula>
    </cfRule>
  </conditionalFormatting>
  <conditionalFormatting sqref="I10:I15">
    <cfRule type="expression" priority="2" dxfId="3">
      <formula>$J10="On plan"</formula>
    </cfRule>
    <cfRule type="expression" priority="4" dxfId="4">
      <formula>$J10="Watch"</formula>
    </cfRule>
    <cfRule type="expression" priority="6" dxfId="5">
      <formula>$J10="Off plan"</formula>
    </cfRule>
  </conditionalFormatting>
  <dataValidations count="1">
    <dataValidation sqref="D5" showDropDown="0" showInputMessage="1" showErrorMessage="1" allowBlank="0" errorTitle="Pick a month" error="Pick a month from the list, September 2024 to August 2026." promptTitle="Reporting month" prompt="Pick the month to report on." type="list">
      <formula1>=month_list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G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14" customWidth="1" min="4" max="4"/>
    <col width="10" customWidth="1" min="5" max="5"/>
    <col width="4" customWidth="1" min="6" max="6"/>
    <col width="10" customWidth="1" min="7" max="7"/>
    <col width="3" customWidth="1" min="8" max="8"/>
  </cols>
  <sheetData>
    <row r="2">
      <c r="B2" s="12">
        <f>$C$5&amp;" against plan, January 2025 to August 2026"</f>
        <v/>
      </c>
    </row>
    <row r="3">
      <c r="B3" s="13" t="inlineStr">
        <is>
          <t>Synthetic data: Kelip Bank is a fictional Malaysian digital bank, and every figure is simulated.</t>
        </is>
      </c>
    </row>
    <row r="5">
      <c r="B5" s="14" t="inlineStr">
        <is>
          <t>KPI</t>
        </is>
      </c>
      <c r="C5" s="9" t="inlineStr">
        <is>
          <t>Total deposits</t>
        </is>
      </c>
      <c r="D5" s="16" t="inlineStr">
        <is>
          <t>Pick a scorecard KPI from the list in the yellow cell.</t>
        </is>
      </c>
    </row>
    <row r="6">
      <c r="B6" s="2" t="inlineStr">
        <is>
          <t>KPI id</t>
        </is>
      </c>
      <c r="C6" s="2">
        <f>INDEX(scorecard_ids,MATCH($C$5,scorecard_kpis,0))</f>
        <v/>
      </c>
    </row>
    <row r="7">
      <c r="B7" s="2" t="inlineStr">
        <is>
          <t>Better when</t>
        </is>
      </c>
      <c r="C7" s="2">
        <f>INDEX(cat_direction,MATCH($C$6,cat_id,0))</f>
        <v/>
      </c>
    </row>
    <row r="8">
      <c r="B8" s="2" t="inlineStr">
        <is>
          <t>Unit code</t>
        </is>
      </c>
      <c r="C8" s="2">
        <f>INDEX(cat_unit,MATCH($C$6,cat_id,0))</f>
        <v/>
      </c>
    </row>
    <row r="9">
      <c r="B9" s="2" t="inlineStr">
        <is>
          <t>Shown in</t>
        </is>
      </c>
      <c r="C9" s="2">
        <f>IF($C$8="rm","RM millions",IF($C$8="pct","percent",IF($C$8="count","customers","units")))</f>
        <v/>
      </c>
    </row>
    <row r="10">
      <c r="B10" s="2" t="inlineStr">
        <is>
          <t>Divided by</t>
        </is>
      </c>
      <c r="C10" s="2">
        <f>IF($C$8="rm",1000000,IF($C$8="pct",0.01,1))</f>
        <v/>
      </c>
    </row>
    <row r="11">
      <c r="B11" s="2" t="inlineStr">
        <is>
          <t>Amber band</t>
        </is>
      </c>
      <c r="C11" s="35">
        <f>INDEX(cat_tolerance,MATCH($C$6,cat_id,0))</f>
        <v/>
      </c>
    </row>
    <row r="13">
      <c r="B13" s="17" t="inlineStr">
        <is>
          <t>Month</t>
        </is>
      </c>
      <c r="C13" s="17">
        <f>"Actual ("&amp;$C$9&amp;")"</f>
        <v/>
      </c>
      <c r="D13" s="17">
        <f>"Plan ("&amp;$C$9&amp;")"</f>
        <v/>
      </c>
      <c r="E13" s="17" t="inlineStr">
        <is>
          <t>% of plan</t>
        </is>
      </c>
      <c r="F13" s="17" t="inlineStr"/>
      <c r="G13" s="17" t="inlineStr">
        <is>
          <t>Status</t>
        </is>
      </c>
    </row>
    <row r="14">
      <c r="B14" s="36" t="n">
        <v>45658</v>
      </c>
      <c r="C14" s="37">
        <f>IF(COUNTIFS(data_kpi,$C$6,data_month,$B14)=0,"",SUMIFS(data_value,data_kpi,$C$6,data_month,$B14)/$C$10)</f>
        <v/>
      </c>
      <c r="D14" s="37">
        <f>IF(COUNTIFS(plan_kpi,$C$6,plan_month,$B14)=0,"",SUMIFS(plan_value,plan_kpi,$C$6,plan_month,$B14)/$C$10)</f>
        <v/>
      </c>
      <c r="E14" s="38">
        <f>IF(OR(C14="",D14=""),"",IF(D14=0,"",C14/D14))</f>
        <v/>
      </c>
      <c r="F14" s="39">
        <f>IF(G14="On plan","▲",IF(G14="Watch","●",IF(G14="Off plan","▼","")))</f>
        <v/>
      </c>
      <c r="G14" s="14">
        <f>IF(OR(C14="",D14=""),"No plan",IF($C$7="higher",IF(C14&gt;=D14,"On plan",IF(C14&gt;=D14*(1-$C$11),"Watch","Off plan")),IF(C14&lt;=D14,"On plan",IF(C14&lt;=D14*(1+$C$11),"Watch","Off plan"))))</f>
        <v/>
      </c>
    </row>
    <row r="15">
      <c r="B15" s="36" t="n">
        <v>45689</v>
      </c>
      <c r="C15" s="37">
        <f>IF(COUNTIFS(data_kpi,$C$6,data_month,$B15)=0,"",SUMIFS(data_value,data_kpi,$C$6,data_month,$B15)/$C$10)</f>
        <v/>
      </c>
      <c r="D15" s="37">
        <f>IF(COUNTIFS(plan_kpi,$C$6,plan_month,$B15)=0,"",SUMIFS(plan_value,plan_kpi,$C$6,plan_month,$B15)/$C$10)</f>
        <v/>
      </c>
      <c r="E15" s="38">
        <f>IF(OR(C15="",D15=""),"",IF(D15=0,"",C15/D15))</f>
        <v/>
      </c>
      <c r="F15" s="39">
        <f>IF(G15="On plan","▲",IF(G15="Watch","●",IF(G15="Off plan","▼","")))</f>
        <v/>
      </c>
      <c r="G15" s="14">
        <f>IF(OR(C15="",D15=""),"No plan",IF($C$7="higher",IF(C15&gt;=D15,"On plan",IF(C15&gt;=D15*(1-$C$11),"Watch","Off plan")),IF(C15&lt;=D15,"On plan",IF(C15&lt;=D15*(1+$C$11),"Watch","Off plan"))))</f>
        <v/>
      </c>
    </row>
    <row r="16">
      <c r="B16" s="36" t="n">
        <v>45717</v>
      </c>
      <c r="C16" s="37">
        <f>IF(COUNTIFS(data_kpi,$C$6,data_month,$B16)=0,"",SUMIFS(data_value,data_kpi,$C$6,data_month,$B16)/$C$10)</f>
        <v/>
      </c>
      <c r="D16" s="37">
        <f>IF(COUNTIFS(plan_kpi,$C$6,plan_month,$B16)=0,"",SUMIFS(plan_value,plan_kpi,$C$6,plan_month,$B16)/$C$10)</f>
        <v/>
      </c>
      <c r="E16" s="38">
        <f>IF(OR(C16="",D16=""),"",IF(D16=0,"",C16/D16))</f>
        <v/>
      </c>
      <c r="F16" s="39">
        <f>IF(G16="On plan","▲",IF(G16="Watch","●",IF(G16="Off plan","▼","")))</f>
        <v/>
      </c>
      <c r="G16" s="14">
        <f>IF(OR(C16="",D16=""),"No plan",IF($C$7="higher",IF(C16&gt;=D16,"On plan",IF(C16&gt;=D16*(1-$C$11),"Watch","Off plan")),IF(C16&lt;=D16,"On plan",IF(C16&lt;=D16*(1+$C$11),"Watch","Off plan"))))</f>
        <v/>
      </c>
    </row>
    <row r="17">
      <c r="B17" s="36" t="n">
        <v>45748</v>
      </c>
      <c r="C17" s="37">
        <f>IF(COUNTIFS(data_kpi,$C$6,data_month,$B17)=0,"",SUMIFS(data_value,data_kpi,$C$6,data_month,$B17)/$C$10)</f>
        <v/>
      </c>
      <c r="D17" s="37">
        <f>IF(COUNTIFS(plan_kpi,$C$6,plan_month,$B17)=0,"",SUMIFS(plan_value,plan_kpi,$C$6,plan_month,$B17)/$C$10)</f>
        <v/>
      </c>
      <c r="E17" s="38">
        <f>IF(OR(C17="",D17=""),"",IF(D17=0,"",C17/D17))</f>
        <v/>
      </c>
      <c r="F17" s="39">
        <f>IF(G17="On plan","▲",IF(G17="Watch","●",IF(G17="Off plan","▼","")))</f>
        <v/>
      </c>
      <c r="G17" s="14">
        <f>IF(OR(C17="",D17=""),"No plan",IF($C$7="higher",IF(C17&gt;=D17,"On plan",IF(C17&gt;=D17*(1-$C$11),"Watch","Off plan")),IF(C17&lt;=D17,"On plan",IF(C17&lt;=D17*(1+$C$11),"Watch","Off plan"))))</f>
        <v/>
      </c>
    </row>
    <row r="18">
      <c r="B18" s="36" t="n">
        <v>45778</v>
      </c>
      <c r="C18" s="37">
        <f>IF(COUNTIFS(data_kpi,$C$6,data_month,$B18)=0,"",SUMIFS(data_value,data_kpi,$C$6,data_month,$B18)/$C$10)</f>
        <v/>
      </c>
      <c r="D18" s="37">
        <f>IF(COUNTIFS(plan_kpi,$C$6,plan_month,$B18)=0,"",SUMIFS(plan_value,plan_kpi,$C$6,plan_month,$B18)/$C$10)</f>
        <v/>
      </c>
      <c r="E18" s="38">
        <f>IF(OR(C18="",D18=""),"",IF(D18=0,"",C18/D18))</f>
        <v/>
      </c>
      <c r="F18" s="39">
        <f>IF(G18="On plan","▲",IF(G18="Watch","●",IF(G18="Off plan","▼","")))</f>
        <v/>
      </c>
      <c r="G18" s="14">
        <f>IF(OR(C18="",D18=""),"No plan",IF($C$7="higher",IF(C18&gt;=D18,"On plan",IF(C18&gt;=D18*(1-$C$11),"Watch","Off plan")),IF(C18&lt;=D18,"On plan",IF(C18&lt;=D18*(1+$C$11),"Watch","Off plan"))))</f>
        <v/>
      </c>
    </row>
    <row r="19">
      <c r="B19" s="36" t="n">
        <v>45809</v>
      </c>
      <c r="C19" s="37">
        <f>IF(COUNTIFS(data_kpi,$C$6,data_month,$B19)=0,"",SUMIFS(data_value,data_kpi,$C$6,data_month,$B19)/$C$10)</f>
        <v/>
      </c>
      <c r="D19" s="37">
        <f>IF(COUNTIFS(plan_kpi,$C$6,plan_month,$B19)=0,"",SUMIFS(plan_value,plan_kpi,$C$6,plan_month,$B19)/$C$10)</f>
        <v/>
      </c>
      <c r="E19" s="38">
        <f>IF(OR(C19="",D19=""),"",IF(D19=0,"",C19/D19))</f>
        <v/>
      </c>
      <c r="F19" s="39">
        <f>IF(G19="On plan","▲",IF(G19="Watch","●",IF(G19="Off plan","▼","")))</f>
        <v/>
      </c>
      <c r="G19" s="14">
        <f>IF(OR(C19="",D19=""),"No plan",IF($C$7="higher",IF(C19&gt;=D19,"On plan",IF(C19&gt;=D19*(1-$C$11),"Watch","Off plan")),IF(C19&lt;=D19,"On plan",IF(C19&lt;=D19*(1+$C$11),"Watch","Off plan"))))</f>
        <v/>
      </c>
    </row>
    <row r="20">
      <c r="B20" s="36" t="n">
        <v>45839</v>
      </c>
      <c r="C20" s="37">
        <f>IF(COUNTIFS(data_kpi,$C$6,data_month,$B20)=0,"",SUMIFS(data_value,data_kpi,$C$6,data_month,$B20)/$C$10)</f>
        <v/>
      </c>
      <c r="D20" s="37">
        <f>IF(COUNTIFS(plan_kpi,$C$6,plan_month,$B20)=0,"",SUMIFS(plan_value,plan_kpi,$C$6,plan_month,$B20)/$C$10)</f>
        <v/>
      </c>
      <c r="E20" s="38">
        <f>IF(OR(C20="",D20=""),"",IF(D20=0,"",C20/D20))</f>
        <v/>
      </c>
      <c r="F20" s="39">
        <f>IF(G20="On plan","▲",IF(G20="Watch","●",IF(G20="Off plan","▼","")))</f>
        <v/>
      </c>
      <c r="G20" s="14">
        <f>IF(OR(C20="",D20=""),"No plan",IF($C$7="higher",IF(C20&gt;=D20,"On plan",IF(C20&gt;=D20*(1-$C$11),"Watch","Off plan")),IF(C20&lt;=D20,"On plan",IF(C20&lt;=D20*(1+$C$11),"Watch","Off plan"))))</f>
        <v/>
      </c>
    </row>
    <row r="21">
      <c r="B21" s="36" t="n">
        <v>45870</v>
      </c>
      <c r="C21" s="37">
        <f>IF(COUNTIFS(data_kpi,$C$6,data_month,$B21)=0,"",SUMIFS(data_value,data_kpi,$C$6,data_month,$B21)/$C$10)</f>
        <v/>
      </c>
      <c r="D21" s="37">
        <f>IF(COUNTIFS(plan_kpi,$C$6,plan_month,$B21)=0,"",SUMIFS(plan_value,plan_kpi,$C$6,plan_month,$B21)/$C$10)</f>
        <v/>
      </c>
      <c r="E21" s="38">
        <f>IF(OR(C21="",D21=""),"",IF(D21=0,"",C21/D21))</f>
        <v/>
      </c>
      <c r="F21" s="39">
        <f>IF(G21="On plan","▲",IF(G21="Watch","●",IF(G21="Off plan","▼","")))</f>
        <v/>
      </c>
      <c r="G21" s="14">
        <f>IF(OR(C21="",D21=""),"No plan",IF($C$7="higher",IF(C21&gt;=D21,"On plan",IF(C21&gt;=D21*(1-$C$11),"Watch","Off plan")),IF(C21&lt;=D21,"On plan",IF(C21&lt;=D21*(1+$C$11),"Watch","Off plan"))))</f>
        <v/>
      </c>
    </row>
    <row r="22">
      <c r="B22" s="36" t="n">
        <v>45901</v>
      </c>
      <c r="C22" s="37">
        <f>IF(COUNTIFS(data_kpi,$C$6,data_month,$B22)=0,"",SUMIFS(data_value,data_kpi,$C$6,data_month,$B22)/$C$10)</f>
        <v/>
      </c>
      <c r="D22" s="37">
        <f>IF(COUNTIFS(plan_kpi,$C$6,plan_month,$B22)=0,"",SUMIFS(plan_value,plan_kpi,$C$6,plan_month,$B22)/$C$10)</f>
        <v/>
      </c>
      <c r="E22" s="38">
        <f>IF(OR(C22="",D22=""),"",IF(D22=0,"",C22/D22))</f>
        <v/>
      </c>
      <c r="F22" s="39">
        <f>IF(G22="On plan","▲",IF(G22="Watch","●",IF(G22="Off plan","▼","")))</f>
        <v/>
      </c>
      <c r="G22" s="14">
        <f>IF(OR(C22="",D22=""),"No plan",IF($C$7="higher",IF(C22&gt;=D22,"On plan",IF(C22&gt;=D22*(1-$C$11),"Watch","Off plan")),IF(C22&lt;=D22,"On plan",IF(C22&lt;=D22*(1+$C$11),"Watch","Off plan"))))</f>
        <v/>
      </c>
    </row>
    <row r="23">
      <c r="B23" s="36" t="n">
        <v>45931</v>
      </c>
      <c r="C23" s="37">
        <f>IF(COUNTIFS(data_kpi,$C$6,data_month,$B23)=0,"",SUMIFS(data_value,data_kpi,$C$6,data_month,$B23)/$C$10)</f>
        <v/>
      </c>
      <c r="D23" s="37">
        <f>IF(COUNTIFS(plan_kpi,$C$6,plan_month,$B23)=0,"",SUMIFS(plan_value,plan_kpi,$C$6,plan_month,$B23)/$C$10)</f>
        <v/>
      </c>
      <c r="E23" s="38">
        <f>IF(OR(C23="",D23=""),"",IF(D23=0,"",C23/D23))</f>
        <v/>
      </c>
      <c r="F23" s="39">
        <f>IF(G23="On plan","▲",IF(G23="Watch","●",IF(G23="Off plan","▼","")))</f>
        <v/>
      </c>
      <c r="G23" s="14">
        <f>IF(OR(C23="",D23=""),"No plan",IF($C$7="higher",IF(C23&gt;=D23,"On plan",IF(C23&gt;=D23*(1-$C$11),"Watch","Off plan")),IF(C23&lt;=D23,"On plan",IF(C23&lt;=D23*(1+$C$11),"Watch","Off plan"))))</f>
        <v/>
      </c>
    </row>
    <row r="24">
      <c r="B24" s="36" t="n">
        <v>45962</v>
      </c>
      <c r="C24" s="37">
        <f>IF(COUNTIFS(data_kpi,$C$6,data_month,$B24)=0,"",SUMIFS(data_value,data_kpi,$C$6,data_month,$B24)/$C$10)</f>
        <v/>
      </c>
      <c r="D24" s="37">
        <f>IF(COUNTIFS(plan_kpi,$C$6,plan_month,$B24)=0,"",SUMIFS(plan_value,plan_kpi,$C$6,plan_month,$B24)/$C$10)</f>
        <v/>
      </c>
      <c r="E24" s="38">
        <f>IF(OR(C24="",D24=""),"",IF(D24=0,"",C24/D24))</f>
        <v/>
      </c>
      <c r="F24" s="39">
        <f>IF(G24="On plan","▲",IF(G24="Watch","●",IF(G24="Off plan","▼","")))</f>
        <v/>
      </c>
      <c r="G24" s="14">
        <f>IF(OR(C24="",D24=""),"No plan",IF($C$7="higher",IF(C24&gt;=D24,"On plan",IF(C24&gt;=D24*(1-$C$11),"Watch","Off plan")),IF(C24&lt;=D24,"On plan",IF(C24&lt;=D24*(1+$C$11),"Watch","Off plan"))))</f>
        <v/>
      </c>
    </row>
    <row r="25">
      <c r="B25" s="36" t="n">
        <v>45992</v>
      </c>
      <c r="C25" s="37">
        <f>IF(COUNTIFS(data_kpi,$C$6,data_month,$B25)=0,"",SUMIFS(data_value,data_kpi,$C$6,data_month,$B25)/$C$10)</f>
        <v/>
      </c>
      <c r="D25" s="37">
        <f>IF(COUNTIFS(plan_kpi,$C$6,plan_month,$B25)=0,"",SUMIFS(plan_value,plan_kpi,$C$6,plan_month,$B25)/$C$10)</f>
        <v/>
      </c>
      <c r="E25" s="38">
        <f>IF(OR(C25="",D25=""),"",IF(D25=0,"",C25/D25))</f>
        <v/>
      </c>
      <c r="F25" s="39">
        <f>IF(G25="On plan","▲",IF(G25="Watch","●",IF(G25="Off plan","▼","")))</f>
        <v/>
      </c>
      <c r="G25" s="14">
        <f>IF(OR(C25="",D25=""),"No plan",IF($C$7="higher",IF(C25&gt;=D25,"On plan",IF(C25&gt;=D25*(1-$C$11),"Watch","Off plan")),IF(C25&lt;=D25,"On plan",IF(C25&lt;=D25*(1+$C$11),"Watch","Off plan"))))</f>
        <v/>
      </c>
    </row>
    <row r="26">
      <c r="B26" s="36" t="n">
        <v>46023</v>
      </c>
      <c r="C26" s="37">
        <f>IF(COUNTIFS(data_kpi,$C$6,data_month,$B26)=0,"",SUMIFS(data_value,data_kpi,$C$6,data_month,$B26)/$C$10)</f>
        <v/>
      </c>
      <c r="D26" s="37">
        <f>IF(COUNTIFS(plan_kpi,$C$6,plan_month,$B26)=0,"",SUMIFS(plan_value,plan_kpi,$C$6,plan_month,$B26)/$C$10)</f>
        <v/>
      </c>
      <c r="E26" s="38">
        <f>IF(OR(C26="",D26=""),"",IF(D26=0,"",C26/D26))</f>
        <v/>
      </c>
      <c r="F26" s="39">
        <f>IF(G26="On plan","▲",IF(G26="Watch","●",IF(G26="Off plan","▼","")))</f>
        <v/>
      </c>
      <c r="G26" s="14">
        <f>IF(OR(C26="",D26=""),"No plan",IF($C$7="higher",IF(C26&gt;=D26,"On plan",IF(C26&gt;=D26*(1-$C$11),"Watch","Off plan")),IF(C26&lt;=D26,"On plan",IF(C26&lt;=D26*(1+$C$11),"Watch","Off plan"))))</f>
        <v/>
      </c>
    </row>
    <row r="27">
      <c r="B27" s="36" t="n">
        <v>46054</v>
      </c>
      <c r="C27" s="37">
        <f>IF(COUNTIFS(data_kpi,$C$6,data_month,$B27)=0,"",SUMIFS(data_value,data_kpi,$C$6,data_month,$B27)/$C$10)</f>
        <v/>
      </c>
      <c r="D27" s="37">
        <f>IF(COUNTIFS(plan_kpi,$C$6,plan_month,$B27)=0,"",SUMIFS(plan_value,plan_kpi,$C$6,plan_month,$B27)/$C$10)</f>
        <v/>
      </c>
      <c r="E27" s="38">
        <f>IF(OR(C27="",D27=""),"",IF(D27=0,"",C27/D27))</f>
        <v/>
      </c>
      <c r="F27" s="39">
        <f>IF(G27="On plan","▲",IF(G27="Watch","●",IF(G27="Off plan","▼","")))</f>
        <v/>
      </c>
      <c r="G27" s="14">
        <f>IF(OR(C27="",D27=""),"No plan",IF($C$7="higher",IF(C27&gt;=D27,"On plan",IF(C27&gt;=D27*(1-$C$11),"Watch","Off plan")),IF(C27&lt;=D27,"On plan",IF(C27&lt;=D27*(1+$C$11),"Watch","Off plan"))))</f>
        <v/>
      </c>
    </row>
    <row r="28">
      <c r="B28" s="36" t="n">
        <v>46082</v>
      </c>
      <c r="C28" s="37">
        <f>IF(COUNTIFS(data_kpi,$C$6,data_month,$B28)=0,"",SUMIFS(data_value,data_kpi,$C$6,data_month,$B28)/$C$10)</f>
        <v/>
      </c>
      <c r="D28" s="37">
        <f>IF(COUNTIFS(plan_kpi,$C$6,plan_month,$B28)=0,"",SUMIFS(plan_value,plan_kpi,$C$6,plan_month,$B28)/$C$10)</f>
        <v/>
      </c>
      <c r="E28" s="38">
        <f>IF(OR(C28="",D28=""),"",IF(D28=0,"",C28/D28))</f>
        <v/>
      </c>
      <c r="F28" s="39">
        <f>IF(G28="On plan","▲",IF(G28="Watch","●",IF(G28="Off plan","▼","")))</f>
        <v/>
      </c>
      <c r="G28" s="14">
        <f>IF(OR(C28="",D28=""),"No plan",IF($C$7="higher",IF(C28&gt;=D28,"On plan",IF(C28&gt;=D28*(1-$C$11),"Watch","Off plan")),IF(C28&lt;=D28,"On plan",IF(C28&lt;=D28*(1+$C$11),"Watch","Off plan"))))</f>
        <v/>
      </c>
    </row>
    <row r="29">
      <c r="B29" s="36" t="n">
        <v>46113</v>
      </c>
      <c r="C29" s="37">
        <f>IF(COUNTIFS(data_kpi,$C$6,data_month,$B29)=0,"",SUMIFS(data_value,data_kpi,$C$6,data_month,$B29)/$C$10)</f>
        <v/>
      </c>
      <c r="D29" s="37">
        <f>IF(COUNTIFS(plan_kpi,$C$6,plan_month,$B29)=0,"",SUMIFS(plan_value,plan_kpi,$C$6,plan_month,$B29)/$C$10)</f>
        <v/>
      </c>
      <c r="E29" s="38">
        <f>IF(OR(C29="",D29=""),"",IF(D29=0,"",C29/D29))</f>
        <v/>
      </c>
      <c r="F29" s="39">
        <f>IF(G29="On plan","▲",IF(G29="Watch","●",IF(G29="Off plan","▼","")))</f>
        <v/>
      </c>
      <c r="G29" s="14">
        <f>IF(OR(C29="",D29=""),"No plan",IF($C$7="higher",IF(C29&gt;=D29,"On plan",IF(C29&gt;=D29*(1-$C$11),"Watch","Off plan")),IF(C29&lt;=D29,"On plan",IF(C29&lt;=D29*(1+$C$11),"Watch","Off plan"))))</f>
        <v/>
      </c>
    </row>
    <row r="30">
      <c r="B30" s="36" t="n">
        <v>46143</v>
      </c>
      <c r="C30" s="37">
        <f>IF(COUNTIFS(data_kpi,$C$6,data_month,$B30)=0,"",SUMIFS(data_value,data_kpi,$C$6,data_month,$B30)/$C$10)</f>
        <v/>
      </c>
      <c r="D30" s="37">
        <f>IF(COUNTIFS(plan_kpi,$C$6,plan_month,$B30)=0,"",SUMIFS(plan_value,plan_kpi,$C$6,plan_month,$B30)/$C$10)</f>
        <v/>
      </c>
      <c r="E30" s="38">
        <f>IF(OR(C30="",D30=""),"",IF(D30=0,"",C30/D30))</f>
        <v/>
      </c>
      <c r="F30" s="39">
        <f>IF(G30="On plan","▲",IF(G30="Watch","●",IF(G30="Off plan","▼","")))</f>
        <v/>
      </c>
      <c r="G30" s="14">
        <f>IF(OR(C30="",D30=""),"No plan",IF($C$7="higher",IF(C30&gt;=D30,"On plan",IF(C30&gt;=D30*(1-$C$11),"Watch","Off plan")),IF(C30&lt;=D30,"On plan",IF(C30&lt;=D30*(1+$C$11),"Watch","Off plan"))))</f>
        <v/>
      </c>
    </row>
    <row r="31">
      <c r="B31" s="36" t="n">
        <v>46174</v>
      </c>
      <c r="C31" s="37">
        <f>IF(COUNTIFS(data_kpi,$C$6,data_month,$B31)=0,"",SUMIFS(data_value,data_kpi,$C$6,data_month,$B31)/$C$10)</f>
        <v/>
      </c>
      <c r="D31" s="37">
        <f>IF(COUNTIFS(plan_kpi,$C$6,plan_month,$B31)=0,"",SUMIFS(plan_value,plan_kpi,$C$6,plan_month,$B31)/$C$10)</f>
        <v/>
      </c>
      <c r="E31" s="38">
        <f>IF(OR(C31="",D31=""),"",IF(D31=0,"",C31/D31))</f>
        <v/>
      </c>
      <c r="F31" s="39">
        <f>IF(G31="On plan","▲",IF(G31="Watch","●",IF(G31="Off plan","▼","")))</f>
        <v/>
      </c>
      <c r="G31" s="14">
        <f>IF(OR(C31="",D31=""),"No plan",IF($C$7="higher",IF(C31&gt;=D31,"On plan",IF(C31&gt;=D31*(1-$C$11),"Watch","Off plan")),IF(C31&lt;=D31,"On plan",IF(C31&lt;=D31*(1+$C$11),"Watch","Off plan"))))</f>
        <v/>
      </c>
    </row>
    <row r="32">
      <c r="B32" s="36" t="n">
        <v>46204</v>
      </c>
      <c r="C32" s="37">
        <f>IF(COUNTIFS(data_kpi,$C$6,data_month,$B32)=0,"",SUMIFS(data_value,data_kpi,$C$6,data_month,$B32)/$C$10)</f>
        <v/>
      </c>
      <c r="D32" s="37">
        <f>IF(COUNTIFS(plan_kpi,$C$6,plan_month,$B32)=0,"",SUMIFS(plan_value,plan_kpi,$C$6,plan_month,$B32)/$C$10)</f>
        <v/>
      </c>
      <c r="E32" s="38">
        <f>IF(OR(C32="",D32=""),"",IF(D32=0,"",C32/D32))</f>
        <v/>
      </c>
      <c r="F32" s="39">
        <f>IF(G32="On plan","▲",IF(G32="Watch","●",IF(G32="Off plan","▼","")))</f>
        <v/>
      </c>
      <c r="G32" s="14">
        <f>IF(OR(C32="",D32=""),"No plan",IF($C$7="higher",IF(C32&gt;=D32,"On plan",IF(C32&gt;=D32*(1-$C$11),"Watch","Off plan")),IF(C32&lt;=D32,"On plan",IF(C32&lt;=D32*(1+$C$11),"Watch","Off plan"))))</f>
        <v/>
      </c>
    </row>
    <row r="33">
      <c r="B33" s="36" t="n">
        <v>46235</v>
      </c>
      <c r="C33" s="37">
        <f>IF(COUNTIFS(data_kpi,$C$6,data_month,$B33)=0,"",SUMIFS(data_value,data_kpi,$C$6,data_month,$B33)/$C$10)</f>
        <v/>
      </c>
      <c r="D33" s="37">
        <f>IF(COUNTIFS(plan_kpi,$C$6,plan_month,$B33)=0,"",SUMIFS(plan_value,plan_kpi,$C$6,plan_month,$B33)/$C$10)</f>
        <v/>
      </c>
      <c r="E33" s="38">
        <f>IF(OR(C33="",D33=""),"",IF(D33=0,"",C33/D33))</f>
        <v/>
      </c>
      <c r="F33" s="39">
        <f>IF(G33="On plan","▲",IF(G33="Watch","●",IF(G33="Off plan","▼","")))</f>
        <v/>
      </c>
      <c r="G33" s="14">
        <f>IF(OR(C33="",D33=""),"No plan",IF($C$7="higher",IF(C33&gt;=D33,"On plan",IF(C33&gt;=D33*(1-$C$11),"Watch","Off plan")),IF(C33&lt;=D33,"On plan",IF(C33&lt;=D33*(1+$C$11),"Watch","Off plan"))))</f>
        <v/>
      </c>
    </row>
    <row r="35">
      <c r="B35" s="2" t="inlineStr">
        <is>
          <t>Every value is a formula on the KPI data and Plan sheets. Status uses the same rules as the Scorecard.</t>
        </is>
      </c>
    </row>
  </sheetData>
  <conditionalFormatting sqref="C14:D33">
    <cfRule type="expression" priority="1" dxfId="6">
      <formula>$C$8="count"</formula>
    </cfRule>
  </conditionalFormatting>
  <conditionalFormatting sqref="G14:G33">
    <cfRule type="expression" priority="2" dxfId="0">
      <formula>$G14="On plan"</formula>
    </cfRule>
    <cfRule type="expression" priority="4" dxfId="1">
      <formula>$G14="Watch"</formula>
    </cfRule>
    <cfRule type="expression" priority="6" dxfId="2">
      <formula>$G14="Off plan"</formula>
    </cfRule>
  </conditionalFormatting>
  <conditionalFormatting sqref="F14:F33">
    <cfRule type="expression" priority="3" dxfId="3">
      <formula>$G14="On plan"</formula>
    </cfRule>
    <cfRule type="expression" priority="5" dxfId="4">
      <formula>$G14="Watch"</formula>
    </cfRule>
    <cfRule type="expression" priority="7" dxfId="5">
      <formula>$G14="Off plan"</formula>
    </cfRule>
  </conditionalFormatting>
  <dataValidations count="1">
    <dataValidation sqref="C5" showDropDown="0" showInputMessage="1" showErrorMessage="1" allowBlank="0" errorTitle="Pick a KPI" error="Pick one of the six scorecard KPIs from the list." promptTitle="KPI" prompt="Pick a scorecard KPI to chart." type="list">
      <formula1>=scorecard_kpis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AD28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30" customWidth="1" min="3" max="3"/>
    <col width="11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3" customWidth="1" min="29" max="29"/>
    <col width="20" customWidth="1" min="30" max="30"/>
  </cols>
  <sheetData>
    <row r="2">
      <c r="B2" s="12" t="inlineStr">
        <is>
          <t>All 22 KPIs by month</t>
        </is>
      </c>
    </row>
    <row r="3">
      <c r="B3" s="13" t="inlineStr">
        <is>
          <t>Synthetic data: Kelip Bank is a fictional Malaysian digital bank, and every figure is simulated.</t>
        </is>
      </c>
    </row>
    <row r="4">
      <c r="B4" s="2" t="inlineStr">
        <is>
          <t>A blank means the KPI has no value that month: no financing before January 2025, a 30-day, month-3 or maturity window still open, or a marketing invoice still missing. The month picked on Scorecard is shaded.</t>
        </is>
      </c>
    </row>
    <row r="6">
      <c r="B6" s="17" t="inlineStr">
        <is>
          <t>KPI id</t>
        </is>
      </c>
      <c r="C6" s="17" t="inlineStr">
        <is>
          <t>KPI</t>
        </is>
      </c>
      <c r="D6" s="17" t="inlineStr">
        <is>
          <t>Better when</t>
        </is>
      </c>
      <c r="E6" s="40" t="n">
        <v>45536</v>
      </c>
      <c r="F6" s="40" t="n">
        <v>45566</v>
      </c>
      <c r="G6" s="40" t="n">
        <v>45597</v>
      </c>
      <c r="H6" s="40" t="n">
        <v>45627</v>
      </c>
      <c r="I6" s="40" t="n">
        <v>45658</v>
      </c>
      <c r="J6" s="40" t="n">
        <v>45689</v>
      </c>
      <c r="K6" s="40" t="n">
        <v>45717</v>
      </c>
      <c r="L6" s="40" t="n">
        <v>45748</v>
      </c>
      <c r="M6" s="40" t="n">
        <v>45778</v>
      </c>
      <c r="N6" s="40" t="n">
        <v>45809</v>
      </c>
      <c r="O6" s="40" t="n">
        <v>45839</v>
      </c>
      <c r="P6" s="40" t="n">
        <v>45870</v>
      </c>
      <c r="Q6" s="40" t="n">
        <v>45901</v>
      </c>
      <c r="R6" s="40" t="n">
        <v>45931</v>
      </c>
      <c r="S6" s="40" t="n">
        <v>45962</v>
      </c>
      <c r="T6" s="40" t="n">
        <v>45992</v>
      </c>
      <c r="U6" s="40" t="n">
        <v>46023</v>
      </c>
      <c r="V6" s="40" t="n">
        <v>46054</v>
      </c>
      <c r="W6" s="40" t="n">
        <v>46082</v>
      </c>
      <c r="X6" s="40" t="n">
        <v>46113</v>
      </c>
      <c r="Y6" s="40" t="n">
        <v>46143</v>
      </c>
      <c r="Z6" s="40" t="n">
        <v>46174</v>
      </c>
      <c r="AA6" s="40" t="n">
        <v>46204</v>
      </c>
      <c r="AB6" s="40" t="n">
        <v>46235</v>
      </c>
      <c r="AC6" s="17" t="inlineStr">
        <is>
          <t>Target</t>
        </is>
      </c>
      <c r="AD6" s="17" t="inlineStr">
        <is>
          <t>Owner</t>
        </is>
      </c>
    </row>
    <row r="7">
      <c r="B7" s="41" t="inlineStr">
        <is>
          <t>K01</t>
        </is>
      </c>
      <c r="C7" s="6">
        <f>INDEX(cat_name,MATCH($B7,cat_id,0))</f>
        <v/>
      </c>
      <c r="D7" s="6">
        <f>IF(INDEX(cat_direction,MATCH($B7,cat_id,0))="higher","Higher","Lower")</f>
        <v/>
      </c>
      <c r="E7" s="8">
        <f>IF(COUNTIFS(data_kpi,$B7,data_month,E$6)=0,"",SUMIFS(data_value,data_kpi,$B7,data_month,E$6))</f>
        <v/>
      </c>
      <c r="F7" s="8">
        <f>IF(COUNTIFS(data_kpi,$B7,data_month,F$6)=0,"",SUMIFS(data_value,data_kpi,$B7,data_month,F$6))</f>
        <v/>
      </c>
      <c r="G7" s="8">
        <f>IF(COUNTIFS(data_kpi,$B7,data_month,G$6)=0,"",SUMIFS(data_value,data_kpi,$B7,data_month,G$6))</f>
        <v/>
      </c>
      <c r="H7" s="8">
        <f>IF(COUNTIFS(data_kpi,$B7,data_month,H$6)=0,"",SUMIFS(data_value,data_kpi,$B7,data_month,H$6))</f>
        <v/>
      </c>
      <c r="I7" s="8">
        <f>IF(COUNTIFS(data_kpi,$B7,data_month,I$6)=0,"",SUMIFS(data_value,data_kpi,$B7,data_month,I$6))</f>
        <v/>
      </c>
      <c r="J7" s="8">
        <f>IF(COUNTIFS(data_kpi,$B7,data_month,J$6)=0,"",SUMIFS(data_value,data_kpi,$B7,data_month,J$6))</f>
        <v/>
      </c>
      <c r="K7" s="8">
        <f>IF(COUNTIFS(data_kpi,$B7,data_month,K$6)=0,"",SUMIFS(data_value,data_kpi,$B7,data_month,K$6))</f>
        <v/>
      </c>
      <c r="L7" s="8">
        <f>IF(COUNTIFS(data_kpi,$B7,data_month,L$6)=0,"",SUMIFS(data_value,data_kpi,$B7,data_month,L$6))</f>
        <v/>
      </c>
      <c r="M7" s="8">
        <f>IF(COUNTIFS(data_kpi,$B7,data_month,M$6)=0,"",SUMIFS(data_value,data_kpi,$B7,data_month,M$6))</f>
        <v/>
      </c>
      <c r="N7" s="8">
        <f>IF(COUNTIFS(data_kpi,$B7,data_month,N$6)=0,"",SUMIFS(data_value,data_kpi,$B7,data_month,N$6))</f>
        <v/>
      </c>
      <c r="O7" s="8">
        <f>IF(COUNTIFS(data_kpi,$B7,data_month,O$6)=0,"",SUMIFS(data_value,data_kpi,$B7,data_month,O$6))</f>
        <v/>
      </c>
      <c r="P7" s="8">
        <f>IF(COUNTIFS(data_kpi,$B7,data_month,P$6)=0,"",SUMIFS(data_value,data_kpi,$B7,data_month,P$6))</f>
        <v/>
      </c>
      <c r="Q7" s="8">
        <f>IF(COUNTIFS(data_kpi,$B7,data_month,Q$6)=0,"",SUMIFS(data_value,data_kpi,$B7,data_month,Q$6))</f>
        <v/>
      </c>
      <c r="R7" s="8">
        <f>IF(COUNTIFS(data_kpi,$B7,data_month,R$6)=0,"",SUMIFS(data_value,data_kpi,$B7,data_month,R$6))</f>
        <v/>
      </c>
      <c r="S7" s="8">
        <f>IF(COUNTIFS(data_kpi,$B7,data_month,S$6)=0,"",SUMIFS(data_value,data_kpi,$B7,data_month,S$6))</f>
        <v/>
      </c>
      <c r="T7" s="8">
        <f>IF(COUNTIFS(data_kpi,$B7,data_month,T$6)=0,"",SUMIFS(data_value,data_kpi,$B7,data_month,T$6))</f>
        <v/>
      </c>
      <c r="U7" s="8">
        <f>IF(COUNTIFS(data_kpi,$B7,data_month,U$6)=0,"",SUMIFS(data_value,data_kpi,$B7,data_month,U$6))</f>
        <v/>
      </c>
      <c r="V7" s="8">
        <f>IF(COUNTIFS(data_kpi,$B7,data_month,V$6)=0,"",SUMIFS(data_value,data_kpi,$B7,data_month,V$6))</f>
        <v/>
      </c>
      <c r="W7" s="8">
        <f>IF(COUNTIFS(data_kpi,$B7,data_month,W$6)=0,"",SUMIFS(data_value,data_kpi,$B7,data_month,W$6))</f>
        <v/>
      </c>
      <c r="X7" s="8">
        <f>IF(COUNTIFS(data_kpi,$B7,data_month,X$6)=0,"",SUMIFS(data_value,data_kpi,$B7,data_month,X$6))</f>
        <v/>
      </c>
      <c r="Y7" s="8">
        <f>IF(COUNTIFS(data_kpi,$B7,data_month,Y$6)=0,"",SUMIFS(data_value,data_kpi,$B7,data_month,Y$6))</f>
        <v/>
      </c>
      <c r="Z7" s="8">
        <f>IF(COUNTIFS(data_kpi,$B7,data_month,Z$6)=0,"",SUMIFS(data_value,data_kpi,$B7,data_month,Z$6))</f>
        <v/>
      </c>
      <c r="AA7" s="8">
        <f>IF(COUNTIFS(data_kpi,$B7,data_month,AA$6)=0,"",SUMIFS(data_value,data_kpi,$B7,data_month,AA$6))</f>
        <v/>
      </c>
      <c r="AB7" s="8">
        <f>IF(COUNTIFS(data_kpi,$B7,data_month,AB$6)=0,"",SUMIFS(data_value,data_kpi,$B7,data_month,AB$6))</f>
        <v/>
      </c>
      <c r="AC7" s="42">
        <f>IF(INDEX(cat_target,MATCH($B7,cat_id,0))="","Monthly plan",INDEX(cat_target,MATCH($B7,cat_id,0)))</f>
        <v/>
      </c>
      <c r="AD7" s="6">
        <f>INDEX(cat_owner,MATCH($B7,cat_id,0))</f>
        <v/>
      </c>
    </row>
    <row r="8">
      <c r="B8" s="41" t="inlineStr">
        <is>
          <t>K02</t>
        </is>
      </c>
      <c r="C8" s="6">
        <f>INDEX(cat_name,MATCH($B8,cat_id,0))</f>
        <v/>
      </c>
      <c r="D8" s="6">
        <f>IF(INDEX(cat_direction,MATCH($B8,cat_id,0))="higher","Higher","Lower")</f>
        <v/>
      </c>
      <c r="E8" s="8">
        <f>IF(COUNTIFS(data_kpi,$B8,data_month,E$6)=0,"",SUMIFS(data_value,data_kpi,$B8,data_month,E$6))</f>
        <v/>
      </c>
      <c r="F8" s="8">
        <f>IF(COUNTIFS(data_kpi,$B8,data_month,F$6)=0,"",SUMIFS(data_value,data_kpi,$B8,data_month,F$6))</f>
        <v/>
      </c>
      <c r="G8" s="8">
        <f>IF(COUNTIFS(data_kpi,$B8,data_month,G$6)=0,"",SUMIFS(data_value,data_kpi,$B8,data_month,G$6))</f>
        <v/>
      </c>
      <c r="H8" s="8">
        <f>IF(COUNTIFS(data_kpi,$B8,data_month,H$6)=0,"",SUMIFS(data_value,data_kpi,$B8,data_month,H$6))</f>
        <v/>
      </c>
      <c r="I8" s="8">
        <f>IF(COUNTIFS(data_kpi,$B8,data_month,I$6)=0,"",SUMIFS(data_value,data_kpi,$B8,data_month,I$6))</f>
        <v/>
      </c>
      <c r="J8" s="8">
        <f>IF(COUNTIFS(data_kpi,$B8,data_month,J$6)=0,"",SUMIFS(data_value,data_kpi,$B8,data_month,J$6))</f>
        <v/>
      </c>
      <c r="K8" s="8">
        <f>IF(COUNTIFS(data_kpi,$B8,data_month,K$6)=0,"",SUMIFS(data_value,data_kpi,$B8,data_month,K$6))</f>
        <v/>
      </c>
      <c r="L8" s="8">
        <f>IF(COUNTIFS(data_kpi,$B8,data_month,L$6)=0,"",SUMIFS(data_value,data_kpi,$B8,data_month,L$6))</f>
        <v/>
      </c>
      <c r="M8" s="8">
        <f>IF(COUNTIFS(data_kpi,$B8,data_month,M$6)=0,"",SUMIFS(data_value,data_kpi,$B8,data_month,M$6))</f>
        <v/>
      </c>
      <c r="N8" s="8">
        <f>IF(COUNTIFS(data_kpi,$B8,data_month,N$6)=0,"",SUMIFS(data_value,data_kpi,$B8,data_month,N$6))</f>
        <v/>
      </c>
      <c r="O8" s="8">
        <f>IF(COUNTIFS(data_kpi,$B8,data_month,O$6)=0,"",SUMIFS(data_value,data_kpi,$B8,data_month,O$6))</f>
        <v/>
      </c>
      <c r="P8" s="8">
        <f>IF(COUNTIFS(data_kpi,$B8,data_month,P$6)=0,"",SUMIFS(data_value,data_kpi,$B8,data_month,P$6))</f>
        <v/>
      </c>
      <c r="Q8" s="8">
        <f>IF(COUNTIFS(data_kpi,$B8,data_month,Q$6)=0,"",SUMIFS(data_value,data_kpi,$B8,data_month,Q$6))</f>
        <v/>
      </c>
      <c r="R8" s="8">
        <f>IF(COUNTIFS(data_kpi,$B8,data_month,R$6)=0,"",SUMIFS(data_value,data_kpi,$B8,data_month,R$6))</f>
        <v/>
      </c>
      <c r="S8" s="8">
        <f>IF(COUNTIFS(data_kpi,$B8,data_month,S$6)=0,"",SUMIFS(data_value,data_kpi,$B8,data_month,S$6))</f>
        <v/>
      </c>
      <c r="T8" s="8">
        <f>IF(COUNTIFS(data_kpi,$B8,data_month,T$6)=0,"",SUMIFS(data_value,data_kpi,$B8,data_month,T$6))</f>
        <v/>
      </c>
      <c r="U8" s="8">
        <f>IF(COUNTIFS(data_kpi,$B8,data_month,U$6)=0,"",SUMIFS(data_value,data_kpi,$B8,data_month,U$6))</f>
        <v/>
      </c>
      <c r="V8" s="8">
        <f>IF(COUNTIFS(data_kpi,$B8,data_month,V$6)=0,"",SUMIFS(data_value,data_kpi,$B8,data_month,V$6))</f>
        <v/>
      </c>
      <c r="W8" s="8">
        <f>IF(COUNTIFS(data_kpi,$B8,data_month,W$6)=0,"",SUMIFS(data_value,data_kpi,$B8,data_month,W$6))</f>
        <v/>
      </c>
      <c r="X8" s="8">
        <f>IF(COUNTIFS(data_kpi,$B8,data_month,X$6)=0,"",SUMIFS(data_value,data_kpi,$B8,data_month,X$6))</f>
        <v/>
      </c>
      <c r="Y8" s="8">
        <f>IF(COUNTIFS(data_kpi,$B8,data_month,Y$6)=0,"",SUMIFS(data_value,data_kpi,$B8,data_month,Y$6))</f>
        <v/>
      </c>
      <c r="Z8" s="8">
        <f>IF(COUNTIFS(data_kpi,$B8,data_month,Z$6)=0,"",SUMIFS(data_value,data_kpi,$B8,data_month,Z$6))</f>
        <v/>
      </c>
      <c r="AA8" s="8">
        <f>IF(COUNTIFS(data_kpi,$B8,data_month,AA$6)=0,"",SUMIFS(data_value,data_kpi,$B8,data_month,AA$6))</f>
        <v/>
      </c>
      <c r="AB8" s="8">
        <f>IF(COUNTIFS(data_kpi,$B8,data_month,AB$6)=0,"",SUMIFS(data_value,data_kpi,$B8,data_month,AB$6))</f>
        <v/>
      </c>
      <c r="AC8" s="42">
        <f>IF(INDEX(cat_target,MATCH($B8,cat_id,0))="","Monthly plan",INDEX(cat_target,MATCH($B8,cat_id,0)))</f>
        <v/>
      </c>
      <c r="AD8" s="6">
        <f>INDEX(cat_owner,MATCH($B8,cat_id,0))</f>
        <v/>
      </c>
    </row>
    <row r="9">
      <c r="B9" s="41" t="inlineStr">
        <is>
          <t>K03</t>
        </is>
      </c>
      <c r="C9" s="6">
        <f>INDEX(cat_name,MATCH($B9,cat_id,0))</f>
        <v/>
      </c>
      <c r="D9" s="6">
        <f>IF(INDEX(cat_direction,MATCH($B9,cat_id,0))="higher","Higher","Lower")</f>
        <v/>
      </c>
      <c r="E9" s="38">
        <f>IF(COUNTIFS(data_kpi,$B9,data_month,E$6)=0,"",SUMIFS(data_value,data_kpi,$B9,data_month,E$6))</f>
        <v/>
      </c>
      <c r="F9" s="38">
        <f>IF(COUNTIFS(data_kpi,$B9,data_month,F$6)=0,"",SUMIFS(data_value,data_kpi,$B9,data_month,F$6))</f>
        <v/>
      </c>
      <c r="G9" s="38">
        <f>IF(COUNTIFS(data_kpi,$B9,data_month,G$6)=0,"",SUMIFS(data_value,data_kpi,$B9,data_month,G$6))</f>
        <v/>
      </c>
      <c r="H9" s="38">
        <f>IF(COUNTIFS(data_kpi,$B9,data_month,H$6)=0,"",SUMIFS(data_value,data_kpi,$B9,data_month,H$6))</f>
        <v/>
      </c>
      <c r="I9" s="38">
        <f>IF(COUNTIFS(data_kpi,$B9,data_month,I$6)=0,"",SUMIFS(data_value,data_kpi,$B9,data_month,I$6))</f>
        <v/>
      </c>
      <c r="J9" s="38">
        <f>IF(COUNTIFS(data_kpi,$B9,data_month,J$6)=0,"",SUMIFS(data_value,data_kpi,$B9,data_month,J$6))</f>
        <v/>
      </c>
      <c r="K9" s="38">
        <f>IF(COUNTIFS(data_kpi,$B9,data_month,K$6)=0,"",SUMIFS(data_value,data_kpi,$B9,data_month,K$6))</f>
        <v/>
      </c>
      <c r="L9" s="38">
        <f>IF(COUNTIFS(data_kpi,$B9,data_month,L$6)=0,"",SUMIFS(data_value,data_kpi,$B9,data_month,L$6))</f>
        <v/>
      </c>
      <c r="M9" s="38">
        <f>IF(COUNTIFS(data_kpi,$B9,data_month,M$6)=0,"",SUMIFS(data_value,data_kpi,$B9,data_month,M$6))</f>
        <v/>
      </c>
      <c r="N9" s="38">
        <f>IF(COUNTIFS(data_kpi,$B9,data_month,N$6)=0,"",SUMIFS(data_value,data_kpi,$B9,data_month,N$6))</f>
        <v/>
      </c>
      <c r="O9" s="38">
        <f>IF(COUNTIFS(data_kpi,$B9,data_month,O$6)=0,"",SUMIFS(data_value,data_kpi,$B9,data_month,O$6))</f>
        <v/>
      </c>
      <c r="P9" s="38">
        <f>IF(COUNTIFS(data_kpi,$B9,data_month,P$6)=0,"",SUMIFS(data_value,data_kpi,$B9,data_month,P$6))</f>
        <v/>
      </c>
      <c r="Q9" s="38">
        <f>IF(COUNTIFS(data_kpi,$B9,data_month,Q$6)=0,"",SUMIFS(data_value,data_kpi,$B9,data_month,Q$6))</f>
        <v/>
      </c>
      <c r="R9" s="38">
        <f>IF(COUNTIFS(data_kpi,$B9,data_month,R$6)=0,"",SUMIFS(data_value,data_kpi,$B9,data_month,R$6))</f>
        <v/>
      </c>
      <c r="S9" s="38">
        <f>IF(COUNTIFS(data_kpi,$B9,data_month,S$6)=0,"",SUMIFS(data_value,data_kpi,$B9,data_month,S$6))</f>
        <v/>
      </c>
      <c r="T9" s="38">
        <f>IF(COUNTIFS(data_kpi,$B9,data_month,T$6)=0,"",SUMIFS(data_value,data_kpi,$B9,data_month,T$6))</f>
        <v/>
      </c>
      <c r="U9" s="38">
        <f>IF(COUNTIFS(data_kpi,$B9,data_month,U$6)=0,"",SUMIFS(data_value,data_kpi,$B9,data_month,U$6))</f>
        <v/>
      </c>
      <c r="V9" s="38">
        <f>IF(COUNTIFS(data_kpi,$B9,data_month,V$6)=0,"",SUMIFS(data_value,data_kpi,$B9,data_month,V$6))</f>
        <v/>
      </c>
      <c r="W9" s="38">
        <f>IF(COUNTIFS(data_kpi,$B9,data_month,W$6)=0,"",SUMIFS(data_value,data_kpi,$B9,data_month,W$6))</f>
        <v/>
      </c>
      <c r="X9" s="38">
        <f>IF(COUNTIFS(data_kpi,$B9,data_month,X$6)=0,"",SUMIFS(data_value,data_kpi,$B9,data_month,X$6))</f>
        <v/>
      </c>
      <c r="Y9" s="38">
        <f>IF(COUNTIFS(data_kpi,$B9,data_month,Y$6)=0,"",SUMIFS(data_value,data_kpi,$B9,data_month,Y$6))</f>
        <v/>
      </c>
      <c r="Z9" s="38">
        <f>IF(COUNTIFS(data_kpi,$B9,data_month,Z$6)=0,"",SUMIFS(data_value,data_kpi,$B9,data_month,Z$6))</f>
        <v/>
      </c>
      <c r="AA9" s="38">
        <f>IF(COUNTIFS(data_kpi,$B9,data_month,AA$6)=0,"",SUMIFS(data_value,data_kpi,$B9,data_month,AA$6))</f>
        <v/>
      </c>
      <c r="AB9" s="38">
        <f>IF(COUNTIFS(data_kpi,$B9,data_month,AB$6)=0,"",SUMIFS(data_value,data_kpi,$B9,data_month,AB$6))</f>
        <v/>
      </c>
      <c r="AC9" s="43">
        <f>IF(INDEX(cat_target,MATCH($B9,cat_id,0))="","Monthly plan",INDEX(cat_target,MATCH($B9,cat_id,0)))</f>
        <v/>
      </c>
      <c r="AD9" s="6">
        <f>INDEX(cat_owner,MATCH($B9,cat_id,0))</f>
        <v/>
      </c>
    </row>
    <row r="10">
      <c r="B10" s="41" t="inlineStr">
        <is>
          <t>K04</t>
        </is>
      </c>
      <c r="C10" s="6">
        <f>INDEX(cat_name,MATCH($B10,cat_id,0))</f>
        <v/>
      </c>
      <c r="D10" s="6">
        <f>IF(INDEX(cat_direction,MATCH($B10,cat_id,0))="higher","Higher","Lower")</f>
        <v/>
      </c>
      <c r="E10" s="38">
        <f>IF(COUNTIFS(data_kpi,$B10,data_month,E$6)=0,"",SUMIFS(data_value,data_kpi,$B10,data_month,E$6))</f>
        <v/>
      </c>
      <c r="F10" s="38">
        <f>IF(COUNTIFS(data_kpi,$B10,data_month,F$6)=0,"",SUMIFS(data_value,data_kpi,$B10,data_month,F$6))</f>
        <v/>
      </c>
      <c r="G10" s="38">
        <f>IF(COUNTIFS(data_kpi,$B10,data_month,G$6)=0,"",SUMIFS(data_value,data_kpi,$B10,data_month,G$6))</f>
        <v/>
      </c>
      <c r="H10" s="38">
        <f>IF(COUNTIFS(data_kpi,$B10,data_month,H$6)=0,"",SUMIFS(data_value,data_kpi,$B10,data_month,H$6))</f>
        <v/>
      </c>
      <c r="I10" s="38">
        <f>IF(COUNTIFS(data_kpi,$B10,data_month,I$6)=0,"",SUMIFS(data_value,data_kpi,$B10,data_month,I$6))</f>
        <v/>
      </c>
      <c r="J10" s="38">
        <f>IF(COUNTIFS(data_kpi,$B10,data_month,J$6)=0,"",SUMIFS(data_value,data_kpi,$B10,data_month,J$6))</f>
        <v/>
      </c>
      <c r="K10" s="38">
        <f>IF(COUNTIFS(data_kpi,$B10,data_month,K$6)=0,"",SUMIFS(data_value,data_kpi,$B10,data_month,K$6))</f>
        <v/>
      </c>
      <c r="L10" s="38">
        <f>IF(COUNTIFS(data_kpi,$B10,data_month,L$6)=0,"",SUMIFS(data_value,data_kpi,$B10,data_month,L$6))</f>
        <v/>
      </c>
      <c r="M10" s="38">
        <f>IF(COUNTIFS(data_kpi,$B10,data_month,M$6)=0,"",SUMIFS(data_value,data_kpi,$B10,data_month,M$6))</f>
        <v/>
      </c>
      <c r="N10" s="38">
        <f>IF(COUNTIFS(data_kpi,$B10,data_month,N$6)=0,"",SUMIFS(data_value,data_kpi,$B10,data_month,N$6))</f>
        <v/>
      </c>
      <c r="O10" s="38">
        <f>IF(COUNTIFS(data_kpi,$B10,data_month,O$6)=0,"",SUMIFS(data_value,data_kpi,$B10,data_month,O$6))</f>
        <v/>
      </c>
      <c r="P10" s="38">
        <f>IF(COUNTIFS(data_kpi,$B10,data_month,P$6)=0,"",SUMIFS(data_value,data_kpi,$B10,data_month,P$6))</f>
        <v/>
      </c>
      <c r="Q10" s="38">
        <f>IF(COUNTIFS(data_kpi,$B10,data_month,Q$6)=0,"",SUMIFS(data_value,data_kpi,$B10,data_month,Q$6))</f>
        <v/>
      </c>
      <c r="R10" s="38">
        <f>IF(COUNTIFS(data_kpi,$B10,data_month,R$6)=0,"",SUMIFS(data_value,data_kpi,$B10,data_month,R$6))</f>
        <v/>
      </c>
      <c r="S10" s="38">
        <f>IF(COUNTIFS(data_kpi,$B10,data_month,S$6)=0,"",SUMIFS(data_value,data_kpi,$B10,data_month,S$6))</f>
        <v/>
      </c>
      <c r="T10" s="38">
        <f>IF(COUNTIFS(data_kpi,$B10,data_month,T$6)=0,"",SUMIFS(data_value,data_kpi,$B10,data_month,T$6))</f>
        <v/>
      </c>
      <c r="U10" s="38">
        <f>IF(COUNTIFS(data_kpi,$B10,data_month,U$6)=0,"",SUMIFS(data_value,data_kpi,$B10,data_month,U$6))</f>
        <v/>
      </c>
      <c r="V10" s="38">
        <f>IF(COUNTIFS(data_kpi,$B10,data_month,V$6)=0,"",SUMIFS(data_value,data_kpi,$B10,data_month,V$6))</f>
        <v/>
      </c>
      <c r="W10" s="38">
        <f>IF(COUNTIFS(data_kpi,$B10,data_month,W$6)=0,"",SUMIFS(data_value,data_kpi,$B10,data_month,W$6))</f>
        <v/>
      </c>
      <c r="X10" s="38">
        <f>IF(COUNTIFS(data_kpi,$B10,data_month,X$6)=0,"",SUMIFS(data_value,data_kpi,$B10,data_month,X$6))</f>
        <v/>
      </c>
      <c r="Y10" s="38">
        <f>IF(COUNTIFS(data_kpi,$B10,data_month,Y$6)=0,"",SUMIFS(data_value,data_kpi,$B10,data_month,Y$6))</f>
        <v/>
      </c>
      <c r="Z10" s="38">
        <f>IF(COUNTIFS(data_kpi,$B10,data_month,Z$6)=0,"",SUMIFS(data_value,data_kpi,$B10,data_month,Z$6))</f>
        <v/>
      </c>
      <c r="AA10" s="38">
        <f>IF(COUNTIFS(data_kpi,$B10,data_month,AA$6)=0,"",SUMIFS(data_value,data_kpi,$B10,data_month,AA$6))</f>
        <v/>
      </c>
      <c r="AB10" s="38">
        <f>IF(COUNTIFS(data_kpi,$B10,data_month,AB$6)=0,"",SUMIFS(data_value,data_kpi,$B10,data_month,AB$6))</f>
        <v/>
      </c>
      <c r="AC10" s="43">
        <f>IF(INDEX(cat_target,MATCH($B10,cat_id,0))="","Monthly plan",INDEX(cat_target,MATCH($B10,cat_id,0)))</f>
        <v/>
      </c>
      <c r="AD10" s="6">
        <f>INDEX(cat_owner,MATCH($B10,cat_id,0))</f>
        <v/>
      </c>
    </row>
    <row r="11">
      <c r="B11" s="41" t="inlineStr">
        <is>
          <t>K05</t>
        </is>
      </c>
      <c r="C11" s="6">
        <f>INDEX(cat_name,MATCH($B11,cat_id,0))</f>
        <v/>
      </c>
      <c r="D11" s="6">
        <f>IF(INDEX(cat_direction,MATCH($B11,cat_id,0))="higher","Higher","Lower")</f>
        <v/>
      </c>
      <c r="E11" s="44">
        <f>IF(COUNTIFS(data_kpi,$B11,data_month,E$6)=0,"",SUMIFS(data_value,data_kpi,$B11,data_month,E$6))</f>
        <v/>
      </c>
      <c r="F11" s="44">
        <f>IF(COUNTIFS(data_kpi,$B11,data_month,F$6)=0,"",SUMIFS(data_value,data_kpi,$B11,data_month,F$6))</f>
        <v/>
      </c>
      <c r="G11" s="44">
        <f>IF(COUNTIFS(data_kpi,$B11,data_month,G$6)=0,"",SUMIFS(data_value,data_kpi,$B11,data_month,G$6))</f>
        <v/>
      </c>
      <c r="H11" s="44">
        <f>IF(COUNTIFS(data_kpi,$B11,data_month,H$6)=0,"",SUMIFS(data_value,data_kpi,$B11,data_month,H$6))</f>
        <v/>
      </c>
      <c r="I11" s="44">
        <f>IF(COUNTIFS(data_kpi,$B11,data_month,I$6)=0,"",SUMIFS(data_value,data_kpi,$B11,data_month,I$6))</f>
        <v/>
      </c>
      <c r="J11" s="44">
        <f>IF(COUNTIFS(data_kpi,$B11,data_month,J$6)=0,"",SUMIFS(data_value,data_kpi,$B11,data_month,J$6))</f>
        <v/>
      </c>
      <c r="K11" s="44">
        <f>IF(COUNTIFS(data_kpi,$B11,data_month,K$6)=0,"",SUMIFS(data_value,data_kpi,$B11,data_month,K$6))</f>
        <v/>
      </c>
      <c r="L11" s="44">
        <f>IF(COUNTIFS(data_kpi,$B11,data_month,L$6)=0,"",SUMIFS(data_value,data_kpi,$B11,data_month,L$6))</f>
        <v/>
      </c>
      <c r="M11" s="44">
        <f>IF(COUNTIFS(data_kpi,$B11,data_month,M$6)=0,"",SUMIFS(data_value,data_kpi,$B11,data_month,M$6))</f>
        <v/>
      </c>
      <c r="N11" s="44">
        <f>IF(COUNTIFS(data_kpi,$B11,data_month,N$6)=0,"",SUMIFS(data_value,data_kpi,$B11,data_month,N$6))</f>
        <v/>
      </c>
      <c r="O11" s="44">
        <f>IF(COUNTIFS(data_kpi,$B11,data_month,O$6)=0,"",SUMIFS(data_value,data_kpi,$B11,data_month,O$6))</f>
        <v/>
      </c>
      <c r="P11" s="44">
        <f>IF(COUNTIFS(data_kpi,$B11,data_month,P$6)=0,"",SUMIFS(data_value,data_kpi,$B11,data_month,P$6))</f>
        <v/>
      </c>
      <c r="Q11" s="44">
        <f>IF(COUNTIFS(data_kpi,$B11,data_month,Q$6)=0,"",SUMIFS(data_value,data_kpi,$B11,data_month,Q$6))</f>
        <v/>
      </c>
      <c r="R11" s="44">
        <f>IF(COUNTIFS(data_kpi,$B11,data_month,R$6)=0,"",SUMIFS(data_value,data_kpi,$B11,data_month,R$6))</f>
        <v/>
      </c>
      <c r="S11" s="44">
        <f>IF(COUNTIFS(data_kpi,$B11,data_month,S$6)=0,"",SUMIFS(data_value,data_kpi,$B11,data_month,S$6))</f>
        <v/>
      </c>
      <c r="T11" s="44">
        <f>IF(COUNTIFS(data_kpi,$B11,data_month,T$6)=0,"",SUMIFS(data_value,data_kpi,$B11,data_month,T$6))</f>
        <v/>
      </c>
      <c r="U11" s="44">
        <f>IF(COUNTIFS(data_kpi,$B11,data_month,U$6)=0,"",SUMIFS(data_value,data_kpi,$B11,data_month,U$6))</f>
        <v/>
      </c>
      <c r="V11" s="44">
        <f>IF(COUNTIFS(data_kpi,$B11,data_month,V$6)=0,"",SUMIFS(data_value,data_kpi,$B11,data_month,V$6))</f>
        <v/>
      </c>
      <c r="W11" s="44">
        <f>IF(COUNTIFS(data_kpi,$B11,data_month,W$6)=0,"",SUMIFS(data_value,data_kpi,$B11,data_month,W$6))</f>
        <v/>
      </c>
      <c r="X11" s="44">
        <f>IF(COUNTIFS(data_kpi,$B11,data_month,X$6)=0,"",SUMIFS(data_value,data_kpi,$B11,data_month,X$6))</f>
        <v/>
      </c>
      <c r="Y11" s="44">
        <f>IF(COUNTIFS(data_kpi,$B11,data_month,Y$6)=0,"",SUMIFS(data_value,data_kpi,$B11,data_month,Y$6))</f>
        <v/>
      </c>
      <c r="Z11" s="44">
        <f>IF(COUNTIFS(data_kpi,$B11,data_month,Z$6)=0,"",SUMIFS(data_value,data_kpi,$B11,data_month,Z$6))</f>
        <v/>
      </c>
      <c r="AA11" s="44">
        <f>IF(COUNTIFS(data_kpi,$B11,data_month,AA$6)=0,"",SUMIFS(data_value,data_kpi,$B11,data_month,AA$6))</f>
        <v/>
      </c>
      <c r="AB11" s="44">
        <f>IF(COUNTIFS(data_kpi,$B11,data_month,AB$6)=0,"",SUMIFS(data_value,data_kpi,$B11,data_month,AB$6))</f>
        <v/>
      </c>
      <c r="AC11" s="45">
        <f>IF(INDEX(cat_target,MATCH($B11,cat_id,0))="","Monthly plan",INDEX(cat_target,MATCH($B11,cat_id,0)))</f>
        <v/>
      </c>
      <c r="AD11" s="6">
        <f>INDEX(cat_owner,MATCH($B11,cat_id,0))</f>
        <v/>
      </c>
    </row>
    <row r="12">
      <c r="B12" s="41" t="inlineStr">
        <is>
          <t>K06</t>
        </is>
      </c>
      <c r="C12" s="6">
        <f>INDEX(cat_name,MATCH($B12,cat_id,0))</f>
        <v/>
      </c>
      <c r="D12" s="6">
        <f>IF(INDEX(cat_direction,MATCH($B12,cat_id,0))="higher","Higher","Lower")</f>
        <v/>
      </c>
      <c r="E12" s="38">
        <f>IF(COUNTIFS(data_kpi,$B12,data_month,E$6)=0,"",SUMIFS(data_value,data_kpi,$B12,data_month,E$6))</f>
        <v/>
      </c>
      <c r="F12" s="38">
        <f>IF(COUNTIFS(data_kpi,$B12,data_month,F$6)=0,"",SUMIFS(data_value,data_kpi,$B12,data_month,F$6))</f>
        <v/>
      </c>
      <c r="G12" s="38">
        <f>IF(COUNTIFS(data_kpi,$B12,data_month,G$6)=0,"",SUMIFS(data_value,data_kpi,$B12,data_month,G$6))</f>
        <v/>
      </c>
      <c r="H12" s="38">
        <f>IF(COUNTIFS(data_kpi,$B12,data_month,H$6)=0,"",SUMIFS(data_value,data_kpi,$B12,data_month,H$6))</f>
        <v/>
      </c>
      <c r="I12" s="38">
        <f>IF(COUNTIFS(data_kpi,$B12,data_month,I$6)=0,"",SUMIFS(data_value,data_kpi,$B12,data_month,I$6))</f>
        <v/>
      </c>
      <c r="J12" s="38">
        <f>IF(COUNTIFS(data_kpi,$B12,data_month,J$6)=0,"",SUMIFS(data_value,data_kpi,$B12,data_month,J$6))</f>
        <v/>
      </c>
      <c r="K12" s="38">
        <f>IF(COUNTIFS(data_kpi,$B12,data_month,K$6)=0,"",SUMIFS(data_value,data_kpi,$B12,data_month,K$6))</f>
        <v/>
      </c>
      <c r="L12" s="38">
        <f>IF(COUNTIFS(data_kpi,$B12,data_month,L$6)=0,"",SUMIFS(data_value,data_kpi,$B12,data_month,L$6))</f>
        <v/>
      </c>
      <c r="M12" s="38">
        <f>IF(COUNTIFS(data_kpi,$B12,data_month,M$6)=0,"",SUMIFS(data_value,data_kpi,$B12,data_month,M$6))</f>
        <v/>
      </c>
      <c r="N12" s="38">
        <f>IF(COUNTIFS(data_kpi,$B12,data_month,N$6)=0,"",SUMIFS(data_value,data_kpi,$B12,data_month,N$6))</f>
        <v/>
      </c>
      <c r="O12" s="38">
        <f>IF(COUNTIFS(data_kpi,$B12,data_month,O$6)=0,"",SUMIFS(data_value,data_kpi,$B12,data_month,O$6))</f>
        <v/>
      </c>
      <c r="P12" s="38">
        <f>IF(COUNTIFS(data_kpi,$B12,data_month,P$6)=0,"",SUMIFS(data_value,data_kpi,$B12,data_month,P$6))</f>
        <v/>
      </c>
      <c r="Q12" s="38">
        <f>IF(COUNTIFS(data_kpi,$B12,data_month,Q$6)=0,"",SUMIFS(data_value,data_kpi,$B12,data_month,Q$6))</f>
        <v/>
      </c>
      <c r="R12" s="38">
        <f>IF(COUNTIFS(data_kpi,$B12,data_month,R$6)=0,"",SUMIFS(data_value,data_kpi,$B12,data_month,R$6))</f>
        <v/>
      </c>
      <c r="S12" s="38">
        <f>IF(COUNTIFS(data_kpi,$B12,data_month,S$6)=0,"",SUMIFS(data_value,data_kpi,$B12,data_month,S$6))</f>
        <v/>
      </c>
      <c r="T12" s="38">
        <f>IF(COUNTIFS(data_kpi,$B12,data_month,T$6)=0,"",SUMIFS(data_value,data_kpi,$B12,data_month,T$6))</f>
        <v/>
      </c>
      <c r="U12" s="38">
        <f>IF(COUNTIFS(data_kpi,$B12,data_month,U$6)=0,"",SUMIFS(data_value,data_kpi,$B12,data_month,U$6))</f>
        <v/>
      </c>
      <c r="V12" s="38">
        <f>IF(COUNTIFS(data_kpi,$B12,data_month,V$6)=0,"",SUMIFS(data_value,data_kpi,$B12,data_month,V$6))</f>
        <v/>
      </c>
      <c r="W12" s="38">
        <f>IF(COUNTIFS(data_kpi,$B12,data_month,W$6)=0,"",SUMIFS(data_value,data_kpi,$B12,data_month,W$6))</f>
        <v/>
      </c>
      <c r="X12" s="38">
        <f>IF(COUNTIFS(data_kpi,$B12,data_month,X$6)=0,"",SUMIFS(data_value,data_kpi,$B12,data_month,X$6))</f>
        <v/>
      </c>
      <c r="Y12" s="38">
        <f>IF(COUNTIFS(data_kpi,$B12,data_month,Y$6)=0,"",SUMIFS(data_value,data_kpi,$B12,data_month,Y$6))</f>
        <v/>
      </c>
      <c r="Z12" s="38">
        <f>IF(COUNTIFS(data_kpi,$B12,data_month,Z$6)=0,"",SUMIFS(data_value,data_kpi,$B12,data_month,Z$6))</f>
        <v/>
      </c>
      <c r="AA12" s="38">
        <f>IF(COUNTIFS(data_kpi,$B12,data_month,AA$6)=0,"",SUMIFS(data_value,data_kpi,$B12,data_month,AA$6))</f>
        <v/>
      </c>
      <c r="AB12" s="38">
        <f>IF(COUNTIFS(data_kpi,$B12,data_month,AB$6)=0,"",SUMIFS(data_value,data_kpi,$B12,data_month,AB$6))</f>
        <v/>
      </c>
      <c r="AC12" s="43">
        <f>IF(INDEX(cat_target,MATCH($B12,cat_id,0))="","Monthly plan",INDEX(cat_target,MATCH($B12,cat_id,0)))</f>
        <v/>
      </c>
      <c r="AD12" s="6">
        <f>INDEX(cat_owner,MATCH($B12,cat_id,0))</f>
        <v/>
      </c>
    </row>
    <row r="13">
      <c r="B13" s="41" t="inlineStr">
        <is>
          <t>K07</t>
        </is>
      </c>
      <c r="C13" s="6">
        <f>INDEX(cat_name,MATCH($B13,cat_id,0))</f>
        <v/>
      </c>
      <c r="D13" s="6">
        <f>IF(INDEX(cat_direction,MATCH($B13,cat_id,0))="higher","Higher","Lower")</f>
        <v/>
      </c>
      <c r="E13" s="8">
        <f>IF(COUNTIFS(data_kpi,$B13,data_month,E$6)=0,"",SUMIFS(data_value,data_kpi,$B13,data_month,E$6))</f>
        <v/>
      </c>
      <c r="F13" s="8">
        <f>IF(COUNTIFS(data_kpi,$B13,data_month,F$6)=0,"",SUMIFS(data_value,data_kpi,$B13,data_month,F$6))</f>
        <v/>
      </c>
      <c r="G13" s="8">
        <f>IF(COUNTIFS(data_kpi,$B13,data_month,G$6)=0,"",SUMIFS(data_value,data_kpi,$B13,data_month,G$6))</f>
        <v/>
      </c>
      <c r="H13" s="8">
        <f>IF(COUNTIFS(data_kpi,$B13,data_month,H$6)=0,"",SUMIFS(data_value,data_kpi,$B13,data_month,H$6))</f>
        <v/>
      </c>
      <c r="I13" s="8">
        <f>IF(COUNTIFS(data_kpi,$B13,data_month,I$6)=0,"",SUMIFS(data_value,data_kpi,$B13,data_month,I$6))</f>
        <v/>
      </c>
      <c r="J13" s="8">
        <f>IF(COUNTIFS(data_kpi,$B13,data_month,J$6)=0,"",SUMIFS(data_value,data_kpi,$B13,data_month,J$6))</f>
        <v/>
      </c>
      <c r="K13" s="8">
        <f>IF(COUNTIFS(data_kpi,$B13,data_month,K$6)=0,"",SUMIFS(data_value,data_kpi,$B13,data_month,K$6))</f>
        <v/>
      </c>
      <c r="L13" s="8">
        <f>IF(COUNTIFS(data_kpi,$B13,data_month,L$6)=0,"",SUMIFS(data_value,data_kpi,$B13,data_month,L$6))</f>
        <v/>
      </c>
      <c r="M13" s="8">
        <f>IF(COUNTIFS(data_kpi,$B13,data_month,M$6)=0,"",SUMIFS(data_value,data_kpi,$B13,data_month,M$6))</f>
        <v/>
      </c>
      <c r="N13" s="8">
        <f>IF(COUNTIFS(data_kpi,$B13,data_month,N$6)=0,"",SUMIFS(data_value,data_kpi,$B13,data_month,N$6))</f>
        <v/>
      </c>
      <c r="O13" s="8">
        <f>IF(COUNTIFS(data_kpi,$B13,data_month,O$6)=0,"",SUMIFS(data_value,data_kpi,$B13,data_month,O$6))</f>
        <v/>
      </c>
      <c r="P13" s="8">
        <f>IF(COUNTIFS(data_kpi,$B13,data_month,P$6)=0,"",SUMIFS(data_value,data_kpi,$B13,data_month,P$6))</f>
        <v/>
      </c>
      <c r="Q13" s="8">
        <f>IF(COUNTIFS(data_kpi,$B13,data_month,Q$6)=0,"",SUMIFS(data_value,data_kpi,$B13,data_month,Q$6))</f>
        <v/>
      </c>
      <c r="R13" s="8">
        <f>IF(COUNTIFS(data_kpi,$B13,data_month,R$6)=0,"",SUMIFS(data_value,data_kpi,$B13,data_month,R$6))</f>
        <v/>
      </c>
      <c r="S13" s="8">
        <f>IF(COUNTIFS(data_kpi,$B13,data_month,S$6)=0,"",SUMIFS(data_value,data_kpi,$B13,data_month,S$6))</f>
        <v/>
      </c>
      <c r="T13" s="8">
        <f>IF(COUNTIFS(data_kpi,$B13,data_month,T$6)=0,"",SUMIFS(data_value,data_kpi,$B13,data_month,T$6))</f>
        <v/>
      </c>
      <c r="U13" s="8">
        <f>IF(COUNTIFS(data_kpi,$B13,data_month,U$6)=0,"",SUMIFS(data_value,data_kpi,$B13,data_month,U$6))</f>
        <v/>
      </c>
      <c r="V13" s="8">
        <f>IF(COUNTIFS(data_kpi,$B13,data_month,V$6)=0,"",SUMIFS(data_value,data_kpi,$B13,data_month,V$6))</f>
        <v/>
      </c>
      <c r="W13" s="8">
        <f>IF(COUNTIFS(data_kpi,$B13,data_month,W$6)=0,"",SUMIFS(data_value,data_kpi,$B13,data_month,W$6))</f>
        <v/>
      </c>
      <c r="X13" s="8">
        <f>IF(COUNTIFS(data_kpi,$B13,data_month,X$6)=0,"",SUMIFS(data_value,data_kpi,$B13,data_month,X$6))</f>
        <v/>
      </c>
      <c r="Y13" s="8">
        <f>IF(COUNTIFS(data_kpi,$B13,data_month,Y$6)=0,"",SUMIFS(data_value,data_kpi,$B13,data_month,Y$6))</f>
        <v/>
      </c>
      <c r="Z13" s="8">
        <f>IF(COUNTIFS(data_kpi,$B13,data_month,Z$6)=0,"",SUMIFS(data_value,data_kpi,$B13,data_month,Z$6))</f>
        <v/>
      </c>
      <c r="AA13" s="8">
        <f>IF(COUNTIFS(data_kpi,$B13,data_month,AA$6)=0,"",SUMIFS(data_value,data_kpi,$B13,data_month,AA$6))</f>
        <v/>
      </c>
      <c r="AB13" s="8">
        <f>IF(COUNTIFS(data_kpi,$B13,data_month,AB$6)=0,"",SUMIFS(data_value,data_kpi,$B13,data_month,AB$6))</f>
        <v/>
      </c>
      <c r="AC13" s="42">
        <f>IF(INDEX(cat_target,MATCH($B13,cat_id,0))="","Monthly plan",INDEX(cat_target,MATCH($B13,cat_id,0)))</f>
        <v/>
      </c>
      <c r="AD13" s="6">
        <f>INDEX(cat_owner,MATCH($B13,cat_id,0))</f>
        <v/>
      </c>
    </row>
    <row r="14">
      <c r="B14" s="41" t="inlineStr">
        <is>
          <t>K08</t>
        </is>
      </c>
      <c r="C14" s="6">
        <f>INDEX(cat_name,MATCH($B14,cat_id,0))</f>
        <v/>
      </c>
      <c r="D14" s="6">
        <f>IF(INDEX(cat_direction,MATCH($B14,cat_id,0))="higher","Higher","Lower")</f>
        <v/>
      </c>
      <c r="E14" s="38">
        <f>IF(COUNTIFS(data_kpi,$B14,data_month,E$6)=0,"",SUMIFS(data_value,data_kpi,$B14,data_month,E$6))</f>
        <v/>
      </c>
      <c r="F14" s="38">
        <f>IF(COUNTIFS(data_kpi,$B14,data_month,F$6)=0,"",SUMIFS(data_value,data_kpi,$B14,data_month,F$6))</f>
        <v/>
      </c>
      <c r="G14" s="38">
        <f>IF(COUNTIFS(data_kpi,$B14,data_month,G$6)=0,"",SUMIFS(data_value,data_kpi,$B14,data_month,G$6))</f>
        <v/>
      </c>
      <c r="H14" s="38">
        <f>IF(COUNTIFS(data_kpi,$B14,data_month,H$6)=0,"",SUMIFS(data_value,data_kpi,$B14,data_month,H$6))</f>
        <v/>
      </c>
      <c r="I14" s="38">
        <f>IF(COUNTIFS(data_kpi,$B14,data_month,I$6)=0,"",SUMIFS(data_value,data_kpi,$B14,data_month,I$6))</f>
        <v/>
      </c>
      <c r="J14" s="38">
        <f>IF(COUNTIFS(data_kpi,$B14,data_month,J$6)=0,"",SUMIFS(data_value,data_kpi,$B14,data_month,J$6))</f>
        <v/>
      </c>
      <c r="K14" s="38">
        <f>IF(COUNTIFS(data_kpi,$B14,data_month,K$6)=0,"",SUMIFS(data_value,data_kpi,$B14,data_month,K$6))</f>
        <v/>
      </c>
      <c r="L14" s="38">
        <f>IF(COUNTIFS(data_kpi,$B14,data_month,L$6)=0,"",SUMIFS(data_value,data_kpi,$B14,data_month,L$6))</f>
        <v/>
      </c>
      <c r="M14" s="38">
        <f>IF(COUNTIFS(data_kpi,$B14,data_month,M$6)=0,"",SUMIFS(data_value,data_kpi,$B14,data_month,M$6))</f>
        <v/>
      </c>
      <c r="N14" s="38">
        <f>IF(COUNTIFS(data_kpi,$B14,data_month,N$6)=0,"",SUMIFS(data_value,data_kpi,$B14,data_month,N$6))</f>
        <v/>
      </c>
      <c r="O14" s="38">
        <f>IF(COUNTIFS(data_kpi,$B14,data_month,O$6)=0,"",SUMIFS(data_value,data_kpi,$B14,data_month,O$6))</f>
        <v/>
      </c>
      <c r="P14" s="38">
        <f>IF(COUNTIFS(data_kpi,$B14,data_month,P$6)=0,"",SUMIFS(data_value,data_kpi,$B14,data_month,P$6))</f>
        <v/>
      </c>
      <c r="Q14" s="38">
        <f>IF(COUNTIFS(data_kpi,$B14,data_month,Q$6)=0,"",SUMIFS(data_value,data_kpi,$B14,data_month,Q$6))</f>
        <v/>
      </c>
      <c r="R14" s="38">
        <f>IF(COUNTIFS(data_kpi,$B14,data_month,R$6)=0,"",SUMIFS(data_value,data_kpi,$B14,data_month,R$6))</f>
        <v/>
      </c>
      <c r="S14" s="38">
        <f>IF(COUNTIFS(data_kpi,$B14,data_month,S$6)=0,"",SUMIFS(data_value,data_kpi,$B14,data_month,S$6))</f>
        <v/>
      </c>
      <c r="T14" s="38">
        <f>IF(COUNTIFS(data_kpi,$B14,data_month,T$6)=0,"",SUMIFS(data_value,data_kpi,$B14,data_month,T$6))</f>
        <v/>
      </c>
      <c r="U14" s="38">
        <f>IF(COUNTIFS(data_kpi,$B14,data_month,U$6)=0,"",SUMIFS(data_value,data_kpi,$B14,data_month,U$6))</f>
        <v/>
      </c>
      <c r="V14" s="38">
        <f>IF(COUNTIFS(data_kpi,$B14,data_month,V$6)=0,"",SUMIFS(data_value,data_kpi,$B14,data_month,V$6))</f>
        <v/>
      </c>
      <c r="W14" s="38">
        <f>IF(COUNTIFS(data_kpi,$B14,data_month,W$6)=0,"",SUMIFS(data_value,data_kpi,$B14,data_month,W$6))</f>
        <v/>
      </c>
      <c r="X14" s="38">
        <f>IF(COUNTIFS(data_kpi,$B14,data_month,X$6)=0,"",SUMIFS(data_value,data_kpi,$B14,data_month,X$6))</f>
        <v/>
      </c>
      <c r="Y14" s="38">
        <f>IF(COUNTIFS(data_kpi,$B14,data_month,Y$6)=0,"",SUMIFS(data_value,data_kpi,$B14,data_month,Y$6))</f>
        <v/>
      </c>
      <c r="Z14" s="38">
        <f>IF(COUNTIFS(data_kpi,$B14,data_month,Z$6)=0,"",SUMIFS(data_value,data_kpi,$B14,data_month,Z$6))</f>
        <v/>
      </c>
      <c r="AA14" s="38">
        <f>IF(COUNTIFS(data_kpi,$B14,data_month,AA$6)=0,"",SUMIFS(data_value,data_kpi,$B14,data_month,AA$6))</f>
        <v/>
      </c>
      <c r="AB14" s="38">
        <f>IF(COUNTIFS(data_kpi,$B14,data_month,AB$6)=0,"",SUMIFS(data_value,data_kpi,$B14,data_month,AB$6))</f>
        <v/>
      </c>
      <c r="AC14" s="43">
        <f>IF(INDEX(cat_target,MATCH($B14,cat_id,0))="","Monthly plan",INDEX(cat_target,MATCH($B14,cat_id,0)))</f>
        <v/>
      </c>
      <c r="AD14" s="6">
        <f>INDEX(cat_owner,MATCH($B14,cat_id,0))</f>
        <v/>
      </c>
    </row>
    <row r="15">
      <c r="B15" s="41" t="inlineStr">
        <is>
          <t>K09</t>
        </is>
      </c>
      <c r="C15" s="6">
        <f>INDEX(cat_name,MATCH($B15,cat_id,0))</f>
        <v/>
      </c>
      <c r="D15" s="6">
        <f>IF(INDEX(cat_direction,MATCH($B15,cat_id,0))="higher","Higher","Lower")</f>
        <v/>
      </c>
      <c r="E15" s="46">
        <f>IF(COUNTIFS(data_kpi,$B15,data_month,E$6)=0,"",SUMIFS(data_value,data_kpi,$B15,data_month,E$6))</f>
        <v/>
      </c>
      <c r="F15" s="46">
        <f>IF(COUNTIFS(data_kpi,$B15,data_month,F$6)=0,"",SUMIFS(data_value,data_kpi,$B15,data_month,F$6))</f>
        <v/>
      </c>
      <c r="G15" s="46">
        <f>IF(COUNTIFS(data_kpi,$B15,data_month,G$6)=0,"",SUMIFS(data_value,data_kpi,$B15,data_month,G$6))</f>
        <v/>
      </c>
      <c r="H15" s="46">
        <f>IF(COUNTIFS(data_kpi,$B15,data_month,H$6)=0,"",SUMIFS(data_value,data_kpi,$B15,data_month,H$6))</f>
        <v/>
      </c>
      <c r="I15" s="46">
        <f>IF(COUNTIFS(data_kpi,$B15,data_month,I$6)=0,"",SUMIFS(data_value,data_kpi,$B15,data_month,I$6))</f>
        <v/>
      </c>
      <c r="J15" s="46">
        <f>IF(COUNTIFS(data_kpi,$B15,data_month,J$6)=0,"",SUMIFS(data_value,data_kpi,$B15,data_month,J$6))</f>
        <v/>
      </c>
      <c r="K15" s="46">
        <f>IF(COUNTIFS(data_kpi,$B15,data_month,K$6)=0,"",SUMIFS(data_value,data_kpi,$B15,data_month,K$6))</f>
        <v/>
      </c>
      <c r="L15" s="46">
        <f>IF(COUNTIFS(data_kpi,$B15,data_month,L$6)=0,"",SUMIFS(data_value,data_kpi,$B15,data_month,L$6))</f>
        <v/>
      </c>
      <c r="M15" s="46">
        <f>IF(COUNTIFS(data_kpi,$B15,data_month,M$6)=0,"",SUMIFS(data_value,data_kpi,$B15,data_month,M$6))</f>
        <v/>
      </c>
      <c r="N15" s="46">
        <f>IF(COUNTIFS(data_kpi,$B15,data_month,N$6)=0,"",SUMIFS(data_value,data_kpi,$B15,data_month,N$6))</f>
        <v/>
      </c>
      <c r="O15" s="46">
        <f>IF(COUNTIFS(data_kpi,$B15,data_month,O$6)=0,"",SUMIFS(data_value,data_kpi,$B15,data_month,O$6))</f>
        <v/>
      </c>
      <c r="P15" s="46">
        <f>IF(COUNTIFS(data_kpi,$B15,data_month,P$6)=0,"",SUMIFS(data_value,data_kpi,$B15,data_month,P$6))</f>
        <v/>
      </c>
      <c r="Q15" s="46">
        <f>IF(COUNTIFS(data_kpi,$B15,data_month,Q$6)=0,"",SUMIFS(data_value,data_kpi,$B15,data_month,Q$6))</f>
        <v/>
      </c>
      <c r="R15" s="46">
        <f>IF(COUNTIFS(data_kpi,$B15,data_month,R$6)=0,"",SUMIFS(data_value,data_kpi,$B15,data_month,R$6))</f>
        <v/>
      </c>
      <c r="S15" s="46">
        <f>IF(COUNTIFS(data_kpi,$B15,data_month,S$6)=0,"",SUMIFS(data_value,data_kpi,$B15,data_month,S$6))</f>
        <v/>
      </c>
      <c r="T15" s="46">
        <f>IF(COUNTIFS(data_kpi,$B15,data_month,T$6)=0,"",SUMIFS(data_value,data_kpi,$B15,data_month,T$6))</f>
        <v/>
      </c>
      <c r="U15" s="46">
        <f>IF(COUNTIFS(data_kpi,$B15,data_month,U$6)=0,"",SUMIFS(data_value,data_kpi,$B15,data_month,U$6))</f>
        <v/>
      </c>
      <c r="V15" s="46">
        <f>IF(COUNTIFS(data_kpi,$B15,data_month,V$6)=0,"",SUMIFS(data_value,data_kpi,$B15,data_month,V$6))</f>
        <v/>
      </c>
      <c r="W15" s="46">
        <f>IF(COUNTIFS(data_kpi,$B15,data_month,W$6)=0,"",SUMIFS(data_value,data_kpi,$B15,data_month,W$6))</f>
        <v/>
      </c>
      <c r="X15" s="46">
        <f>IF(COUNTIFS(data_kpi,$B15,data_month,X$6)=0,"",SUMIFS(data_value,data_kpi,$B15,data_month,X$6))</f>
        <v/>
      </c>
      <c r="Y15" s="46">
        <f>IF(COUNTIFS(data_kpi,$B15,data_month,Y$6)=0,"",SUMIFS(data_value,data_kpi,$B15,data_month,Y$6))</f>
        <v/>
      </c>
      <c r="Z15" s="46">
        <f>IF(COUNTIFS(data_kpi,$B15,data_month,Z$6)=0,"",SUMIFS(data_value,data_kpi,$B15,data_month,Z$6))</f>
        <v/>
      </c>
      <c r="AA15" s="46">
        <f>IF(COUNTIFS(data_kpi,$B15,data_month,AA$6)=0,"",SUMIFS(data_value,data_kpi,$B15,data_month,AA$6))</f>
        <v/>
      </c>
      <c r="AB15" s="46">
        <f>IF(COUNTIFS(data_kpi,$B15,data_month,AB$6)=0,"",SUMIFS(data_value,data_kpi,$B15,data_month,AB$6))</f>
        <v/>
      </c>
      <c r="AC15" s="47">
        <f>IF(INDEX(cat_target,MATCH($B15,cat_id,0))="","Monthly plan",INDEX(cat_target,MATCH($B15,cat_id,0)))</f>
        <v/>
      </c>
      <c r="AD15" s="6">
        <f>INDEX(cat_owner,MATCH($B15,cat_id,0))</f>
        <v/>
      </c>
    </row>
    <row r="16">
      <c r="B16" s="41" t="inlineStr">
        <is>
          <t>K10</t>
        </is>
      </c>
      <c r="C16" s="6">
        <f>INDEX(cat_name,MATCH($B16,cat_id,0))</f>
        <v/>
      </c>
      <c r="D16" s="6">
        <f>IF(INDEX(cat_direction,MATCH($B16,cat_id,0))="higher","Higher","Lower")</f>
        <v/>
      </c>
      <c r="E16" s="38">
        <f>IF(COUNTIFS(data_kpi,$B16,data_month,E$6)=0,"",SUMIFS(data_value,data_kpi,$B16,data_month,E$6))</f>
        <v/>
      </c>
      <c r="F16" s="38">
        <f>IF(COUNTIFS(data_kpi,$B16,data_month,F$6)=0,"",SUMIFS(data_value,data_kpi,$B16,data_month,F$6))</f>
        <v/>
      </c>
      <c r="G16" s="38">
        <f>IF(COUNTIFS(data_kpi,$B16,data_month,G$6)=0,"",SUMIFS(data_value,data_kpi,$B16,data_month,G$6))</f>
        <v/>
      </c>
      <c r="H16" s="38">
        <f>IF(COUNTIFS(data_kpi,$B16,data_month,H$6)=0,"",SUMIFS(data_value,data_kpi,$B16,data_month,H$6))</f>
        <v/>
      </c>
      <c r="I16" s="38">
        <f>IF(COUNTIFS(data_kpi,$B16,data_month,I$6)=0,"",SUMIFS(data_value,data_kpi,$B16,data_month,I$6))</f>
        <v/>
      </c>
      <c r="J16" s="38">
        <f>IF(COUNTIFS(data_kpi,$B16,data_month,J$6)=0,"",SUMIFS(data_value,data_kpi,$B16,data_month,J$6))</f>
        <v/>
      </c>
      <c r="K16" s="38">
        <f>IF(COUNTIFS(data_kpi,$B16,data_month,K$6)=0,"",SUMIFS(data_value,data_kpi,$B16,data_month,K$6))</f>
        <v/>
      </c>
      <c r="L16" s="38">
        <f>IF(COUNTIFS(data_kpi,$B16,data_month,L$6)=0,"",SUMIFS(data_value,data_kpi,$B16,data_month,L$6))</f>
        <v/>
      </c>
      <c r="M16" s="38">
        <f>IF(COUNTIFS(data_kpi,$B16,data_month,M$6)=0,"",SUMIFS(data_value,data_kpi,$B16,data_month,M$6))</f>
        <v/>
      </c>
      <c r="N16" s="38">
        <f>IF(COUNTIFS(data_kpi,$B16,data_month,N$6)=0,"",SUMIFS(data_value,data_kpi,$B16,data_month,N$6))</f>
        <v/>
      </c>
      <c r="O16" s="38">
        <f>IF(COUNTIFS(data_kpi,$B16,data_month,O$6)=0,"",SUMIFS(data_value,data_kpi,$B16,data_month,O$6))</f>
        <v/>
      </c>
      <c r="P16" s="38">
        <f>IF(COUNTIFS(data_kpi,$B16,data_month,P$6)=0,"",SUMIFS(data_value,data_kpi,$B16,data_month,P$6))</f>
        <v/>
      </c>
      <c r="Q16" s="38">
        <f>IF(COUNTIFS(data_kpi,$B16,data_month,Q$6)=0,"",SUMIFS(data_value,data_kpi,$B16,data_month,Q$6))</f>
        <v/>
      </c>
      <c r="R16" s="38">
        <f>IF(COUNTIFS(data_kpi,$B16,data_month,R$6)=0,"",SUMIFS(data_value,data_kpi,$B16,data_month,R$6))</f>
        <v/>
      </c>
      <c r="S16" s="38">
        <f>IF(COUNTIFS(data_kpi,$B16,data_month,S$6)=0,"",SUMIFS(data_value,data_kpi,$B16,data_month,S$6))</f>
        <v/>
      </c>
      <c r="T16" s="38">
        <f>IF(COUNTIFS(data_kpi,$B16,data_month,T$6)=0,"",SUMIFS(data_value,data_kpi,$B16,data_month,T$6))</f>
        <v/>
      </c>
      <c r="U16" s="38">
        <f>IF(COUNTIFS(data_kpi,$B16,data_month,U$6)=0,"",SUMIFS(data_value,data_kpi,$B16,data_month,U$6))</f>
        <v/>
      </c>
      <c r="V16" s="38">
        <f>IF(COUNTIFS(data_kpi,$B16,data_month,V$6)=0,"",SUMIFS(data_value,data_kpi,$B16,data_month,V$6))</f>
        <v/>
      </c>
      <c r="W16" s="38">
        <f>IF(COUNTIFS(data_kpi,$B16,data_month,W$6)=0,"",SUMIFS(data_value,data_kpi,$B16,data_month,W$6))</f>
        <v/>
      </c>
      <c r="X16" s="38">
        <f>IF(COUNTIFS(data_kpi,$B16,data_month,X$6)=0,"",SUMIFS(data_value,data_kpi,$B16,data_month,X$6))</f>
        <v/>
      </c>
      <c r="Y16" s="38">
        <f>IF(COUNTIFS(data_kpi,$B16,data_month,Y$6)=0,"",SUMIFS(data_value,data_kpi,$B16,data_month,Y$6))</f>
        <v/>
      </c>
      <c r="Z16" s="38">
        <f>IF(COUNTIFS(data_kpi,$B16,data_month,Z$6)=0,"",SUMIFS(data_value,data_kpi,$B16,data_month,Z$6))</f>
        <v/>
      </c>
      <c r="AA16" s="38">
        <f>IF(COUNTIFS(data_kpi,$B16,data_month,AA$6)=0,"",SUMIFS(data_value,data_kpi,$B16,data_month,AA$6))</f>
        <v/>
      </c>
      <c r="AB16" s="38">
        <f>IF(COUNTIFS(data_kpi,$B16,data_month,AB$6)=0,"",SUMIFS(data_value,data_kpi,$B16,data_month,AB$6))</f>
        <v/>
      </c>
      <c r="AC16" s="43">
        <f>IF(INDEX(cat_target,MATCH($B16,cat_id,0))="","Monthly plan",INDEX(cat_target,MATCH($B16,cat_id,0)))</f>
        <v/>
      </c>
      <c r="AD16" s="6">
        <f>INDEX(cat_owner,MATCH($B16,cat_id,0))</f>
        <v/>
      </c>
    </row>
    <row r="17">
      <c r="B17" s="41" t="inlineStr">
        <is>
          <t>K11</t>
        </is>
      </c>
      <c r="C17" s="6">
        <f>INDEX(cat_name,MATCH($B17,cat_id,0))</f>
        <v/>
      </c>
      <c r="D17" s="6">
        <f>IF(INDEX(cat_direction,MATCH($B17,cat_id,0))="higher","Higher","Lower")</f>
        <v/>
      </c>
      <c r="E17" s="48">
        <f>IF(COUNTIFS(data_kpi,$B17,data_month,E$6)=0,"",SUMIFS(data_value,data_kpi,$B17,data_month,E$6))</f>
        <v/>
      </c>
      <c r="F17" s="48">
        <f>IF(COUNTIFS(data_kpi,$B17,data_month,F$6)=0,"",SUMIFS(data_value,data_kpi,$B17,data_month,F$6))</f>
        <v/>
      </c>
      <c r="G17" s="48">
        <f>IF(COUNTIFS(data_kpi,$B17,data_month,G$6)=0,"",SUMIFS(data_value,data_kpi,$B17,data_month,G$6))</f>
        <v/>
      </c>
      <c r="H17" s="48">
        <f>IF(COUNTIFS(data_kpi,$B17,data_month,H$6)=0,"",SUMIFS(data_value,data_kpi,$B17,data_month,H$6))</f>
        <v/>
      </c>
      <c r="I17" s="48">
        <f>IF(COUNTIFS(data_kpi,$B17,data_month,I$6)=0,"",SUMIFS(data_value,data_kpi,$B17,data_month,I$6))</f>
        <v/>
      </c>
      <c r="J17" s="48">
        <f>IF(COUNTIFS(data_kpi,$B17,data_month,J$6)=0,"",SUMIFS(data_value,data_kpi,$B17,data_month,J$6))</f>
        <v/>
      </c>
      <c r="K17" s="48">
        <f>IF(COUNTIFS(data_kpi,$B17,data_month,K$6)=0,"",SUMIFS(data_value,data_kpi,$B17,data_month,K$6))</f>
        <v/>
      </c>
      <c r="L17" s="48">
        <f>IF(COUNTIFS(data_kpi,$B17,data_month,L$6)=0,"",SUMIFS(data_value,data_kpi,$B17,data_month,L$6))</f>
        <v/>
      </c>
      <c r="M17" s="48">
        <f>IF(COUNTIFS(data_kpi,$B17,data_month,M$6)=0,"",SUMIFS(data_value,data_kpi,$B17,data_month,M$6))</f>
        <v/>
      </c>
      <c r="N17" s="48">
        <f>IF(COUNTIFS(data_kpi,$B17,data_month,N$6)=0,"",SUMIFS(data_value,data_kpi,$B17,data_month,N$6))</f>
        <v/>
      </c>
      <c r="O17" s="48">
        <f>IF(COUNTIFS(data_kpi,$B17,data_month,O$6)=0,"",SUMIFS(data_value,data_kpi,$B17,data_month,O$6))</f>
        <v/>
      </c>
      <c r="P17" s="48">
        <f>IF(COUNTIFS(data_kpi,$B17,data_month,P$6)=0,"",SUMIFS(data_value,data_kpi,$B17,data_month,P$6))</f>
        <v/>
      </c>
      <c r="Q17" s="48">
        <f>IF(COUNTIFS(data_kpi,$B17,data_month,Q$6)=0,"",SUMIFS(data_value,data_kpi,$B17,data_month,Q$6))</f>
        <v/>
      </c>
      <c r="R17" s="48">
        <f>IF(COUNTIFS(data_kpi,$B17,data_month,R$6)=0,"",SUMIFS(data_value,data_kpi,$B17,data_month,R$6))</f>
        <v/>
      </c>
      <c r="S17" s="48">
        <f>IF(COUNTIFS(data_kpi,$B17,data_month,S$6)=0,"",SUMIFS(data_value,data_kpi,$B17,data_month,S$6))</f>
        <v/>
      </c>
      <c r="T17" s="48">
        <f>IF(COUNTIFS(data_kpi,$B17,data_month,T$6)=0,"",SUMIFS(data_value,data_kpi,$B17,data_month,T$6))</f>
        <v/>
      </c>
      <c r="U17" s="48">
        <f>IF(COUNTIFS(data_kpi,$B17,data_month,U$6)=0,"",SUMIFS(data_value,data_kpi,$B17,data_month,U$6))</f>
        <v/>
      </c>
      <c r="V17" s="48">
        <f>IF(COUNTIFS(data_kpi,$B17,data_month,V$6)=0,"",SUMIFS(data_value,data_kpi,$B17,data_month,V$6))</f>
        <v/>
      </c>
      <c r="W17" s="48">
        <f>IF(COUNTIFS(data_kpi,$B17,data_month,W$6)=0,"",SUMIFS(data_value,data_kpi,$B17,data_month,W$6))</f>
        <v/>
      </c>
      <c r="X17" s="48">
        <f>IF(COUNTIFS(data_kpi,$B17,data_month,X$6)=0,"",SUMIFS(data_value,data_kpi,$B17,data_month,X$6))</f>
        <v/>
      </c>
      <c r="Y17" s="48">
        <f>IF(COUNTIFS(data_kpi,$B17,data_month,Y$6)=0,"",SUMIFS(data_value,data_kpi,$B17,data_month,Y$6))</f>
        <v/>
      </c>
      <c r="Z17" s="48">
        <f>IF(COUNTIFS(data_kpi,$B17,data_month,Z$6)=0,"",SUMIFS(data_value,data_kpi,$B17,data_month,Z$6))</f>
        <v/>
      </c>
      <c r="AA17" s="48">
        <f>IF(COUNTIFS(data_kpi,$B17,data_month,AA$6)=0,"",SUMIFS(data_value,data_kpi,$B17,data_month,AA$6))</f>
        <v/>
      </c>
      <c r="AB17" s="48">
        <f>IF(COUNTIFS(data_kpi,$B17,data_month,AB$6)=0,"",SUMIFS(data_value,data_kpi,$B17,data_month,AB$6))</f>
        <v/>
      </c>
      <c r="AC17" s="49">
        <f>IF(INDEX(cat_target,MATCH($B17,cat_id,0))="","Monthly plan",INDEX(cat_target,MATCH($B17,cat_id,0)))</f>
        <v/>
      </c>
      <c r="AD17" s="6">
        <f>INDEX(cat_owner,MATCH($B17,cat_id,0))</f>
        <v/>
      </c>
    </row>
    <row r="18">
      <c r="B18" s="41" t="inlineStr">
        <is>
          <t>K12</t>
        </is>
      </c>
      <c r="C18" s="6">
        <f>INDEX(cat_name,MATCH($B18,cat_id,0))</f>
        <v/>
      </c>
      <c r="D18" s="6">
        <f>IF(INDEX(cat_direction,MATCH($B18,cat_id,0))="higher","Higher","Lower")</f>
        <v/>
      </c>
      <c r="E18" s="38">
        <f>IF(COUNTIFS(data_kpi,$B18,data_month,E$6)=0,"",SUMIFS(data_value,data_kpi,$B18,data_month,E$6))</f>
        <v/>
      </c>
      <c r="F18" s="38">
        <f>IF(COUNTIFS(data_kpi,$B18,data_month,F$6)=0,"",SUMIFS(data_value,data_kpi,$B18,data_month,F$6))</f>
        <v/>
      </c>
      <c r="G18" s="38">
        <f>IF(COUNTIFS(data_kpi,$B18,data_month,G$6)=0,"",SUMIFS(data_value,data_kpi,$B18,data_month,G$6))</f>
        <v/>
      </c>
      <c r="H18" s="38">
        <f>IF(COUNTIFS(data_kpi,$B18,data_month,H$6)=0,"",SUMIFS(data_value,data_kpi,$B18,data_month,H$6))</f>
        <v/>
      </c>
      <c r="I18" s="38">
        <f>IF(COUNTIFS(data_kpi,$B18,data_month,I$6)=0,"",SUMIFS(data_value,data_kpi,$B18,data_month,I$6))</f>
        <v/>
      </c>
      <c r="J18" s="38">
        <f>IF(COUNTIFS(data_kpi,$B18,data_month,J$6)=0,"",SUMIFS(data_value,data_kpi,$B18,data_month,J$6))</f>
        <v/>
      </c>
      <c r="K18" s="38">
        <f>IF(COUNTIFS(data_kpi,$B18,data_month,K$6)=0,"",SUMIFS(data_value,data_kpi,$B18,data_month,K$6))</f>
        <v/>
      </c>
      <c r="L18" s="38">
        <f>IF(COUNTIFS(data_kpi,$B18,data_month,L$6)=0,"",SUMIFS(data_value,data_kpi,$B18,data_month,L$6))</f>
        <v/>
      </c>
      <c r="M18" s="38">
        <f>IF(COUNTIFS(data_kpi,$B18,data_month,M$6)=0,"",SUMIFS(data_value,data_kpi,$B18,data_month,M$6))</f>
        <v/>
      </c>
      <c r="N18" s="38">
        <f>IF(COUNTIFS(data_kpi,$B18,data_month,N$6)=0,"",SUMIFS(data_value,data_kpi,$B18,data_month,N$6))</f>
        <v/>
      </c>
      <c r="O18" s="38">
        <f>IF(COUNTIFS(data_kpi,$B18,data_month,O$6)=0,"",SUMIFS(data_value,data_kpi,$B18,data_month,O$6))</f>
        <v/>
      </c>
      <c r="P18" s="38">
        <f>IF(COUNTIFS(data_kpi,$B18,data_month,P$6)=0,"",SUMIFS(data_value,data_kpi,$B18,data_month,P$6))</f>
        <v/>
      </c>
      <c r="Q18" s="38">
        <f>IF(COUNTIFS(data_kpi,$B18,data_month,Q$6)=0,"",SUMIFS(data_value,data_kpi,$B18,data_month,Q$6))</f>
        <v/>
      </c>
      <c r="R18" s="38">
        <f>IF(COUNTIFS(data_kpi,$B18,data_month,R$6)=0,"",SUMIFS(data_value,data_kpi,$B18,data_month,R$6))</f>
        <v/>
      </c>
      <c r="S18" s="38">
        <f>IF(COUNTIFS(data_kpi,$B18,data_month,S$6)=0,"",SUMIFS(data_value,data_kpi,$B18,data_month,S$6))</f>
        <v/>
      </c>
      <c r="T18" s="38">
        <f>IF(COUNTIFS(data_kpi,$B18,data_month,T$6)=0,"",SUMIFS(data_value,data_kpi,$B18,data_month,T$6))</f>
        <v/>
      </c>
      <c r="U18" s="38">
        <f>IF(COUNTIFS(data_kpi,$B18,data_month,U$6)=0,"",SUMIFS(data_value,data_kpi,$B18,data_month,U$6))</f>
        <v/>
      </c>
      <c r="V18" s="38">
        <f>IF(COUNTIFS(data_kpi,$B18,data_month,V$6)=0,"",SUMIFS(data_value,data_kpi,$B18,data_month,V$6))</f>
        <v/>
      </c>
      <c r="W18" s="38">
        <f>IF(COUNTIFS(data_kpi,$B18,data_month,W$6)=0,"",SUMIFS(data_value,data_kpi,$B18,data_month,W$6))</f>
        <v/>
      </c>
      <c r="X18" s="38">
        <f>IF(COUNTIFS(data_kpi,$B18,data_month,X$6)=0,"",SUMIFS(data_value,data_kpi,$B18,data_month,X$6))</f>
        <v/>
      </c>
      <c r="Y18" s="38">
        <f>IF(COUNTIFS(data_kpi,$B18,data_month,Y$6)=0,"",SUMIFS(data_value,data_kpi,$B18,data_month,Y$6))</f>
        <v/>
      </c>
      <c r="Z18" s="38">
        <f>IF(COUNTIFS(data_kpi,$B18,data_month,Z$6)=0,"",SUMIFS(data_value,data_kpi,$B18,data_month,Z$6))</f>
        <v/>
      </c>
      <c r="AA18" s="38">
        <f>IF(COUNTIFS(data_kpi,$B18,data_month,AA$6)=0,"",SUMIFS(data_value,data_kpi,$B18,data_month,AA$6))</f>
        <v/>
      </c>
      <c r="AB18" s="38">
        <f>IF(COUNTIFS(data_kpi,$B18,data_month,AB$6)=0,"",SUMIFS(data_value,data_kpi,$B18,data_month,AB$6))</f>
        <v/>
      </c>
      <c r="AC18" s="43">
        <f>IF(INDEX(cat_target,MATCH($B18,cat_id,0))="","Monthly plan",INDEX(cat_target,MATCH($B18,cat_id,0)))</f>
        <v/>
      </c>
      <c r="AD18" s="6">
        <f>INDEX(cat_owner,MATCH($B18,cat_id,0))</f>
        <v/>
      </c>
    </row>
    <row r="19">
      <c r="B19" s="41" t="inlineStr">
        <is>
          <t>K13</t>
        </is>
      </c>
      <c r="C19" s="6">
        <f>INDEX(cat_name,MATCH($B19,cat_id,0))</f>
        <v/>
      </c>
      <c r="D19" s="6">
        <f>IF(INDEX(cat_direction,MATCH($B19,cat_id,0))="higher","Higher","Lower")</f>
        <v/>
      </c>
      <c r="E19" s="48">
        <f>IF(COUNTIFS(data_kpi,$B19,data_month,E$6)=0,"",SUMIFS(data_value,data_kpi,$B19,data_month,E$6))</f>
        <v/>
      </c>
      <c r="F19" s="48">
        <f>IF(COUNTIFS(data_kpi,$B19,data_month,F$6)=0,"",SUMIFS(data_value,data_kpi,$B19,data_month,F$6))</f>
        <v/>
      </c>
      <c r="G19" s="48">
        <f>IF(COUNTIFS(data_kpi,$B19,data_month,G$6)=0,"",SUMIFS(data_value,data_kpi,$B19,data_month,G$6))</f>
        <v/>
      </c>
      <c r="H19" s="48">
        <f>IF(COUNTIFS(data_kpi,$B19,data_month,H$6)=0,"",SUMIFS(data_value,data_kpi,$B19,data_month,H$6))</f>
        <v/>
      </c>
      <c r="I19" s="48">
        <f>IF(COUNTIFS(data_kpi,$B19,data_month,I$6)=0,"",SUMIFS(data_value,data_kpi,$B19,data_month,I$6))</f>
        <v/>
      </c>
      <c r="J19" s="48">
        <f>IF(COUNTIFS(data_kpi,$B19,data_month,J$6)=0,"",SUMIFS(data_value,data_kpi,$B19,data_month,J$6))</f>
        <v/>
      </c>
      <c r="K19" s="48">
        <f>IF(COUNTIFS(data_kpi,$B19,data_month,K$6)=0,"",SUMIFS(data_value,data_kpi,$B19,data_month,K$6))</f>
        <v/>
      </c>
      <c r="L19" s="48">
        <f>IF(COUNTIFS(data_kpi,$B19,data_month,L$6)=0,"",SUMIFS(data_value,data_kpi,$B19,data_month,L$6))</f>
        <v/>
      </c>
      <c r="M19" s="48">
        <f>IF(COUNTIFS(data_kpi,$B19,data_month,M$6)=0,"",SUMIFS(data_value,data_kpi,$B19,data_month,M$6))</f>
        <v/>
      </c>
      <c r="N19" s="48">
        <f>IF(COUNTIFS(data_kpi,$B19,data_month,N$6)=0,"",SUMIFS(data_value,data_kpi,$B19,data_month,N$6))</f>
        <v/>
      </c>
      <c r="O19" s="48">
        <f>IF(COUNTIFS(data_kpi,$B19,data_month,O$6)=0,"",SUMIFS(data_value,data_kpi,$B19,data_month,O$6))</f>
        <v/>
      </c>
      <c r="P19" s="48">
        <f>IF(COUNTIFS(data_kpi,$B19,data_month,P$6)=0,"",SUMIFS(data_value,data_kpi,$B19,data_month,P$6))</f>
        <v/>
      </c>
      <c r="Q19" s="48">
        <f>IF(COUNTIFS(data_kpi,$B19,data_month,Q$6)=0,"",SUMIFS(data_value,data_kpi,$B19,data_month,Q$6))</f>
        <v/>
      </c>
      <c r="R19" s="48">
        <f>IF(COUNTIFS(data_kpi,$B19,data_month,R$6)=0,"",SUMIFS(data_value,data_kpi,$B19,data_month,R$6))</f>
        <v/>
      </c>
      <c r="S19" s="48">
        <f>IF(COUNTIFS(data_kpi,$B19,data_month,S$6)=0,"",SUMIFS(data_value,data_kpi,$B19,data_month,S$6))</f>
        <v/>
      </c>
      <c r="T19" s="48">
        <f>IF(COUNTIFS(data_kpi,$B19,data_month,T$6)=0,"",SUMIFS(data_value,data_kpi,$B19,data_month,T$6))</f>
        <v/>
      </c>
      <c r="U19" s="48">
        <f>IF(COUNTIFS(data_kpi,$B19,data_month,U$6)=0,"",SUMIFS(data_value,data_kpi,$B19,data_month,U$6))</f>
        <v/>
      </c>
      <c r="V19" s="48">
        <f>IF(COUNTIFS(data_kpi,$B19,data_month,V$6)=0,"",SUMIFS(data_value,data_kpi,$B19,data_month,V$6))</f>
        <v/>
      </c>
      <c r="W19" s="48">
        <f>IF(COUNTIFS(data_kpi,$B19,data_month,W$6)=0,"",SUMIFS(data_value,data_kpi,$B19,data_month,W$6))</f>
        <v/>
      </c>
      <c r="X19" s="48">
        <f>IF(COUNTIFS(data_kpi,$B19,data_month,X$6)=0,"",SUMIFS(data_value,data_kpi,$B19,data_month,X$6))</f>
        <v/>
      </c>
      <c r="Y19" s="48">
        <f>IF(COUNTIFS(data_kpi,$B19,data_month,Y$6)=0,"",SUMIFS(data_value,data_kpi,$B19,data_month,Y$6))</f>
        <v/>
      </c>
      <c r="Z19" s="48">
        <f>IF(COUNTIFS(data_kpi,$B19,data_month,Z$6)=0,"",SUMIFS(data_value,data_kpi,$B19,data_month,Z$6))</f>
        <v/>
      </c>
      <c r="AA19" s="48">
        <f>IF(COUNTIFS(data_kpi,$B19,data_month,AA$6)=0,"",SUMIFS(data_value,data_kpi,$B19,data_month,AA$6))</f>
        <v/>
      </c>
      <c r="AB19" s="48">
        <f>IF(COUNTIFS(data_kpi,$B19,data_month,AB$6)=0,"",SUMIFS(data_value,data_kpi,$B19,data_month,AB$6))</f>
        <v/>
      </c>
      <c r="AC19" s="49">
        <f>IF(INDEX(cat_target,MATCH($B19,cat_id,0))="","Monthly plan",INDEX(cat_target,MATCH($B19,cat_id,0)))</f>
        <v/>
      </c>
      <c r="AD19" s="6">
        <f>INDEX(cat_owner,MATCH($B19,cat_id,0))</f>
        <v/>
      </c>
    </row>
    <row r="20">
      <c r="B20" s="41" t="inlineStr">
        <is>
          <t>K14</t>
        </is>
      </c>
      <c r="C20" s="6">
        <f>INDEX(cat_name,MATCH($B20,cat_id,0))</f>
        <v/>
      </c>
      <c r="D20" s="6">
        <f>IF(INDEX(cat_direction,MATCH($B20,cat_id,0))="higher","Higher","Lower")</f>
        <v/>
      </c>
      <c r="E20" s="38">
        <f>IF(COUNTIFS(data_kpi,$B20,data_month,E$6)=0,"",SUMIFS(data_value,data_kpi,$B20,data_month,E$6))</f>
        <v/>
      </c>
      <c r="F20" s="38">
        <f>IF(COUNTIFS(data_kpi,$B20,data_month,F$6)=0,"",SUMIFS(data_value,data_kpi,$B20,data_month,F$6))</f>
        <v/>
      </c>
      <c r="G20" s="38">
        <f>IF(COUNTIFS(data_kpi,$B20,data_month,G$6)=0,"",SUMIFS(data_value,data_kpi,$B20,data_month,G$6))</f>
        <v/>
      </c>
      <c r="H20" s="38">
        <f>IF(COUNTIFS(data_kpi,$B20,data_month,H$6)=0,"",SUMIFS(data_value,data_kpi,$B20,data_month,H$6))</f>
        <v/>
      </c>
      <c r="I20" s="38">
        <f>IF(COUNTIFS(data_kpi,$B20,data_month,I$6)=0,"",SUMIFS(data_value,data_kpi,$B20,data_month,I$6))</f>
        <v/>
      </c>
      <c r="J20" s="38">
        <f>IF(COUNTIFS(data_kpi,$B20,data_month,J$6)=0,"",SUMIFS(data_value,data_kpi,$B20,data_month,J$6))</f>
        <v/>
      </c>
      <c r="K20" s="38">
        <f>IF(COUNTIFS(data_kpi,$B20,data_month,K$6)=0,"",SUMIFS(data_value,data_kpi,$B20,data_month,K$6))</f>
        <v/>
      </c>
      <c r="L20" s="38">
        <f>IF(COUNTIFS(data_kpi,$B20,data_month,L$6)=0,"",SUMIFS(data_value,data_kpi,$B20,data_month,L$6))</f>
        <v/>
      </c>
      <c r="M20" s="38">
        <f>IF(COUNTIFS(data_kpi,$B20,data_month,M$6)=0,"",SUMIFS(data_value,data_kpi,$B20,data_month,M$6))</f>
        <v/>
      </c>
      <c r="N20" s="38">
        <f>IF(COUNTIFS(data_kpi,$B20,data_month,N$6)=0,"",SUMIFS(data_value,data_kpi,$B20,data_month,N$6))</f>
        <v/>
      </c>
      <c r="O20" s="38">
        <f>IF(COUNTIFS(data_kpi,$B20,data_month,O$6)=0,"",SUMIFS(data_value,data_kpi,$B20,data_month,O$6))</f>
        <v/>
      </c>
      <c r="P20" s="38">
        <f>IF(COUNTIFS(data_kpi,$B20,data_month,P$6)=0,"",SUMIFS(data_value,data_kpi,$B20,data_month,P$6))</f>
        <v/>
      </c>
      <c r="Q20" s="38">
        <f>IF(COUNTIFS(data_kpi,$B20,data_month,Q$6)=0,"",SUMIFS(data_value,data_kpi,$B20,data_month,Q$6))</f>
        <v/>
      </c>
      <c r="R20" s="38">
        <f>IF(COUNTIFS(data_kpi,$B20,data_month,R$6)=0,"",SUMIFS(data_value,data_kpi,$B20,data_month,R$6))</f>
        <v/>
      </c>
      <c r="S20" s="38">
        <f>IF(COUNTIFS(data_kpi,$B20,data_month,S$6)=0,"",SUMIFS(data_value,data_kpi,$B20,data_month,S$6))</f>
        <v/>
      </c>
      <c r="T20" s="38">
        <f>IF(COUNTIFS(data_kpi,$B20,data_month,T$6)=0,"",SUMIFS(data_value,data_kpi,$B20,data_month,T$6))</f>
        <v/>
      </c>
      <c r="U20" s="38">
        <f>IF(COUNTIFS(data_kpi,$B20,data_month,U$6)=0,"",SUMIFS(data_value,data_kpi,$B20,data_month,U$6))</f>
        <v/>
      </c>
      <c r="V20" s="38">
        <f>IF(COUNTIFS(data_kpi,$B20,data_month,V$6)=0,"",SUMIFS(data_value,data_kpi,$B20,data_month,V$6))</f>
        <v/>
      </c>
      <c r="W20" s="38">
        <f>IF(COUNTIFS(data_kpi,$B20,data_month,W$6)=0,"",SUMIFS(data_value,data_kpi,$B20,data_month,W$6))</f>
        <v/>
      </c>
      <c r="X20" s="38">
        <f>IF(COUNTIFS(data_kpi,$B20,data_month,X$6)=0,"",SUMIFS(data_value,data_kpi,$B20,data_month,X$6))</f>
        <v/>
      </c>
      <c r="Y20" s="38">
        <f>IF(COUNTIFS(data_kpi,$B20,data_month,Y$6)=0,"",SUMIFS(data_value,data_kpi,$B20,data_month,Y$6))</f>
        <v/>
      </c>
      <c r="Z20" s="38">
        <f>IF(COUNTIFS(data_kpi,$B20,data_month,Z$6)=0,"",SUMIFS(data_value,data_kpi,$B20,data_month,Z$6))</f>
        <v/>
      </c>
      <c r="AA20" s="38">
        <f>IF(COUNTIFS(data_kpi,$B20,data_month,AA$6)=0,"",SUMIFS(data_value,data_kpi,$B20,data_month,AA$6))</f>
        <v/>
      </c>
      <c r="AB20" s="38">
        <f>IF(COUNTIFS(data_kpi,$B20,data_month,AB$6)=0,"",SUMIFS(data_value,data_kpi,$B20,data_month,AB$6))</f>
        <v/>
      </c>
      <c r="AC20" s="43">
        <f>IF(INDEX(cat_target,MATCH($B20,cat_id,0))="","Monthly plan",INDEX(cat_target,MATCH($B20,cat_id,0)))</f>
        <v/>
      </c>
      <c r="AD20" s="6">
        <f>INDEX(cat_owner,MATCH($B20,cat_id,0))</f>
        <v/>
      </c>
    </row>
    <row r="21">
      <c r="B21" s="41" t="inlineStr">
        <is>
          <t>K15</t>
        </is>
      </c>
      <c r="C21" s="6">
        <f>INDEX(cat_name,MATCH($B21,cat_id,0))</f>
        <v/>
      </c>
      <c r="D21" s="6">
        <f>IF(INDEX(cat_direction,MATCH($B21,cat_id,0))="higher","Higher","Lower")</f>
        <v/>
      </c>
      <c r="E21" s="50">
        <f>IF(COUNTIFS(data_kpi,$B21,data_month,E$6)=0,"",SUMIFS(data_value,data_kpi,$B21,data_month,E$6))</f>
        <v/>
      </c>
      <c r="F21" s="50">
        <f>IF(COUNTIFS(data_kpi,$B21,data_month,F$6)=0,"",SUMIFS(data_value,data_kpi,$B21,data_month,F$6))</f>
        <v/>
      </c>
      <c r="G21" s="50">
        <f>IF(COUNTIFS(data_kpi,$B21,data_month,G$6)=0,"",SUMIFS(data_value,data_kpi,$B21,data_month,G$6))</f>
        <v/>
      </c>
      <c r="H21" s="50">
        <f>IF(COUNTIFS(data_kpi,$B21,data_month,H$6)=0,"",SUMIFS(data_value,data_kpi,$B21,data_month,H$6))</f>
        <v/>
      </c>
      <c r="I21" s="50">
        <f>IF(COUNTIFS(data_kpi,$B21,data_month,I$6)=0,"",SUMIFS(data_value,data_kpi,$B21,data_month,I$6))</f>
        <v/>
      </c>
      <c r="J21" s="50">
        <f>IF(COUNTIFS(data_kpi,$B21,data_month,J$6)=0,"",SUMIFS(data_value,data_kpi,$B21,data_month,J$6))</f>
        <v/>
      </c>
      <c r="K21" s="50">
        <f>IF(COUNTIFS(data_kpi,$B21,data_month,K$6)=0,"",SUMIFS(data_value,data_kpi,$B21,data_month,K$6))</f>
        <v/>
      </c>
      <c r="L21" s="50">
        <f>IF(COUNTIFS(data_kpi,$B21,data_month,L$6)=0,"",SUMIFS(data_value,data_kpi,$B21,data_month,L$6))</f>
        <v/>
      </c>
      <c r="M21" s="50">
        <f>IF(COUNTIFS(data_kpi,$B21,data_month,M$6)=0,"",SUMIFS(data_value,data_kpi,$B21,data_month,M$6))</f>
        <v/>
      </c>
      <c r="N21" s="50">
        <f>IF(COUNTIFS(data_kpi,$B21,data_month,N$6)=0,"",SUMIFS(data_value,data_kpi,$B21,data_month,N$6))</f>
        <v/>
      </c>
      <c r="O21" s="50">
        <f>IF(COUNTIFS(data_kpi,$B21,data_month,O$6)=0,"",SUMIFS(data_value,data_kpi,$B21,data_month,O$6))</f>
        <v/>
      </c>
      <c r="P21" s="50">
        <f>IF(COUNTIFS(data_kpi,$B21,data_month,P$6)=0,"",SUMIFS(data_value,data_kpi,$B21,data_month,P$6))</f>
        <v/>
      </c>
      <c r="Q21" s="50">
        <f>IF(COUNTIFS(data_kpi,$B21,data_month,Q$6)=0,"",SUMIFS(data_value,data_kpi,$B21,data_month,Q$6))</f>
        <v/>
      </c>
      <c r="R21" s="50">
        <f>IF(COUNTIFS(data_kpi,$B21,data_month,R$6)=0,"",SUMIFS(data_value,data_kpi,$B21,data_month,R$6))</f>
        <v/>
      </c>
      <c r="S21" s="50">
        <f>IF(COUNTIFS(data_kpi,$B21,data_month,S$6)=0,"",SUMIFS(data_value,data_kpi,$B21,data_month,S$6))</f>
        <v/>
      </c>
      <c r="T21" s="50">
        <f>IF(COUNTIFS(data_kpi,$B21,data_month,T$6)=0,"",SUMIFS(data_value,data_kpi,$B21,data_month,T$6))</f>
        <v/>
      </c>
      <c r="U21" s="50">
        <f>IF(COUNTIFS(data_kpi,$B21,data_month,U$6)=0,"",SUMIFS(data_value,data_kpi,$B21,data_month,U$6))</f>
        <v/>
      </c>
      <c r="V21" s="50">
        <f>IF(COUNTIFS(data_kpi,$B21,data_month,V$6)=0,"",SUMIFS(data_value,data_kpi,$B21,data_month,V$6))</f>
        <v/>
      </c>
      <c r="W21" s="50">
        <f>IF(COUNTIFS(data_kpi,$B21,data_month,W$6)=0,"",SUMIFS(data_value,data_kpi,$B21,data_month,W$6))</f>
        <v/>
      </c>
      <c r="X21" s="50">
        <f>IF(COUNTIFS(data_kpi,$B21,data_month,X$6)=0,"",SUMIFS(data_value,data_kpi,$B21,data_month,X$6))</f>
        <v/>
      </c>
      <c r="Y21" s="50">
        <f>IF(COUNTIFS(data_kpi,$B21,data_month,Y$6)=0,"",SUMIFS(data_value,data_kpi,$B21,data_month,Y$6))</f>
        <v/>
      </c>
      <c r="Z21" s="50">
        <f>IF(COUNTIFS(data_kpi,$B21,data_month,Z$6)=0,"",SUMIFS(data_value,data_kpi,$B21,data_month,Z$6))</f>
        <v/>
      </c>
      <c r="AA21" s="50">
        <f>IF(COUNTIFS(data_kpi,$B21,data_month,AA$6)=0,"",SUMIFS(data_value,data_kpi,$B21,data_month,AA$6))</f>
        <v/>
      </c>
      <c r="AB21" s="50">
        <f>IF(COUNTIFS(data_kpi,$B21,data_month,AB$6)=0,"",SUMIFS(data_value,data_kpi,$B21,data_month,AB$6))</f>
        <v/>
      </c>
      <c r="AC21" s="51">
        <f>IF(INDEX(cat_target,MATCH($B21,cat_id,0))="","Monthly plan",INDEX(cat_target,MATCH($B21,cat_id,0)))</f>
        <v/>
      </c>
      <c r="AD21" s="6">
        <f>INDEX(cat_owner,MATCH($B21,cat_id,0))</f>
        <v/>
      </c>
    </row>
    <row r="22">
      <c r="B22" s="41" t="inlineStr">
        <is>
          <t>K16</t>
        </is>
      </c>
      <c r="C22" s="6">
        <f>INDEX(cat_name,MATCH($B22,cat_id,0))</f>
        <v/>
      </c>
      <c r="D22" s="6">
        <f>IF(INDEX(cat_direction,MATCH($B22,cat_id,0))="higher","Higher","Lower")</f>
        <v/>
      </c>
      <c r="E22" s="38">
        <f>IF(COUNTIFS(data_kpi,$B22,data_month,E$6)=0,"",SUMIFS(data_value,data_kpi,$B22,data_month,E$6))</f>
        <v/>
      </c>
      <c r="F22" s="38">
        <f>IF(COUNTIFS(data_kpi,$B22,data_month,F$6)=0,"",SUMIFS(data_value,data_kpi,$B22,data_month,F$6))</f>
        <v/>
      </c>
      <c r="G22" s="38">
        <f>IF(COUNTIFS(data_kpi,$B22,data_month,G$6)=0,"",SUMIFS(data_value,data_kpi,$B22,data_month,G$6))</f>
        <v/>
      </c>
      <c r="H22" s="38">
        <f>IF(COUNTIFS(data_kpi,$B22,data_month,H$6)=0,"",SUMIFS(data_value,data_kpi,$B22,data_month,H$6))</f>
        <v/>
      </c>
      <c r="I22" s="38">
        <f>IF(COUNTIFS(data_kpi,$B22,data_month,I$6)=0,"",SUMIFS(data_value,data_kpi,$B22,data_month,I$6))</f>
        <v/>
      </c>
      <c r="J22" s="38">
        <f>IF(COUNTIFS(data_kpi,$B22,data_month,J$6)=0,"",SUMIFS(data_value,data_kpi,$B22,data_month,J$6))</f>
        <v/>
      </c>
      <c r="K22" s="38">
        <f>IF(COUNTIFS(data_kpi,$B22,data_month,K$6)=0,"",SUMIFS(data_value,data_kpi,$B22,data_month,K$6))</f>
        <v/>
      </c>
      <c r="L22" s="38">
        <f>IF(COUNTIFS(data_kpi,$B22,data_month,L$6)=0,"",SUMIFS(data_value,data_kpi,$B22,data_month,L$6))</f>
        <v/>
      </c>
      <c r="M22" s="38">
        <f>IF(COUNTIFS(data_kpi,$B22,data_month,M$6)=0,"",SUMIFS(data_value,data_kpi,$B22,data_month,M$6))</f>
        <v/>
      </c>
      <c r="N22" s="38">
        <f>IF(COUNTIFS(data_kpi,$B22,data_month,N$6)=0,"",SUMIFS(data_value,data_kpi,$B22,data_month,N$6))</f>
        <v/>
      </c>
      <c r="O22" s="38">
        <f>IF(COUNTIFS(data_kpi,$B22,data_month,O$6)=0,"",SUMIFS(data_value,data_kpi,$B22,data_month,O$6))</f>
        <v/>
      </c>
      <c r="P22" s="38">
        <f>IF(COUNTIFS(data_kpi,$B22,data_month,P$6)=0,"",SUMIFS(data_value,data_kpi,$B22,data_month,P$6))</f>
        <v/>
      </c>
      <c r="Q22" s="38">
        <f>IF(COUNTIFS(data_kpi,$B22,data_month,Q$6)=0,"",SUMIFS(data_value,data_kpi,$B22,data_month,Q$6))</f>
        <v/>
      </c>
      <c r="R22" s="38">
        <f>IF(COUNTIFS(data_kpi,$B22,data_month,R$6)=0,"",SUMIFS(data_value,data_kpi,$B22,data_month,R$6))</f>
        <v/>
      </c>
      <c r="S22" s="38">
        <f>IF(COUNTIFS(data_kpi,$B22,data_month,S$6)=0,"",SUMIFS(data_value,data_kpi,$B22,data_month,S$6))</f>
        <v/>
      </c>
      <c r="T22" s="38">
        <f>IF(COUNTIFS(data_kpi,$B22,data_month,T$6)=0,"",SUMIFS(data_value,data_kpi,$B22,data_month,T$6))</f>
        <v/>
      </c>
      <c r="U22" s="38">
        <f>IF(COUNTIFS(data_kpi,$B22,data_month,U$6)=0,"",SUMIFS(data_value,data_kpi,$B22,data_month,U$6))</f>
        <v/>
      </c>
      <c r="V22" s="38">
        <f>IF(COUNTIFS(data_kpi,$B22,data_month,V$6)=0,"",SUMIFS(data_value,data_kpi,$B22,data_month,V$6))</f>
        <v/>
      </c>
      <c r="W22" s="38">
        <f>IF(COUNTIFS(data_kpi,$B22,data_month,W$6)=0,"",SUMIFS(data_value,data_kpi,$B22,data_month,W$6))</f>
        <v/>
      </c>
      <c r="X22" s="38">
        <f>IF(COUNTIFS(data_kpi,$B22,data_month,X$6)=0,"",SUMIFS(data_value,data_kpi,$B22,data_month,X$6))</f>
        <v/>
      </c>
      <c r="Y22" s="38">
        <f>IF(COUNTIFS(data_kpi,$B22,data_month,Y$6)=0,"",SUMIFS(data_value,data_kpi,$B22,data_month,Y$6))</f>
        <v/>
      </c>
      <c r="Z22" s="38">
        <f>IF(COUNTIFS(data_kpi,$B22,data_month,Z$6)=0,"",SUMIFS(data_value,data_kpi,$B22,data_month,Z$6))</f>
        <v/>
      </c>
      <c r="AA22" s="38">
        <f>IF(COUNTIFS(data_kpi,$B22,data_month,AA$6)=0,"",SUMIFS(data_value,data_kpi,$B22,data_month,AA$6))</f>
        <v/>
      </c>
      <c r="AB22" s="38">
        <f>IF(COUNTIFS(data_kpi,$B22,data_month,AB$6)=0,"",SUMIFS(data_value,data_kpi,$B22,data_month,AB$6))</f>
        <v/>
      </c>
      <c r="AC22" s="43">
        <f>IF(INDEX(cat_target,MATCH($B22,cat_id,0))="","Monthly plan",INDEX(cat_target,MATCH($B22,cat_id,0)))</f>
        <v/>
      </c>
      <c r="AD22" s="6">
        <f>INDEX(cat_owner,MATCH($B22,cat_id,0))</f>
        <v/>
      </c>
    </row>
    <row r="23">
      <c r="B23" s="41" t="inlineStr">
        <is>
          <t>K17</t>
        </is>
      </c>
      <c r="C23" s="6">
        <f>INDEX(cat_name,MATCH($B23,cat_id,0))</f>
        <v/>
      </c>
      <c r="D23" s="6">
        <f>IF(INDEX(cat_direction,MATCH($B23,cat_id,0))="higher","Higher","Lower")</f>
        <v/>
      </c>
      <c r="E23" s="48">
        <f>IF(COUNTIFS(data_kpi,$B23,data_month,E$6)=0,"",SUMIFS(data_value,data_kpi,$B23,data_month,E$6))</f>
        <v/>
      </c>
      <c r="F23" s="48">
        <f>IF(COUNTIFS(data_kpi,$B23,data_month,F$6)=0,"",SUMIFS(data_value,data_kpi,$B23,data_month,F$6))</f>
        <v/>
      </c>
      <c r="G23" s="48">
        <f>IF(COUNTIFS(data_kpi,$B23,data_month,G$6)=0,"",SUMIFS(data_value,data_kpi,$B23,data_month,G$6))</f>
        <v/>
      </c>
      <c r="H23" s="48">
        <f>IF(COUNTIFS(data_kpi,$B23,data_month,H$6)=0,"",SUMIFS(data_value,data_kpi,$B23,data_month,H$6))</f>
        <v/>
      </c>
      <c r="I23" s="48">
        <f>IF(COUNTIFS(data_kpi,$B23,data_month,I$6)=0,"",SUMIFS(data_value,data_kpi,$B23,data_month,I$6))</f>
        <v/>
      </c>
      <c r="J23" s="48">
        <f>IF(COUNTIFS(data_kpi,$B23,data_month,J$6)=0,"",SUMIFS(data_value,data_kpi,$B23,data_month,J$6))</f>
        <v/>
      </c>
      <c r="K23" s="48">
        <f>IF(COUNTIFS(data_kpi,$B23,data_month,K$6)=0,"",SUMIFS(data_value,data_kpi,$B23,data_month,K$6))</f>
        <v/>
      </c>
      <c r="L23" s="48">
        <f>IF(COUNTIFS(data_kpi,$B23,data_month,L$6)=0,"",SUMIFS(data_value,data_kpi,$B23,data_month,L$6))</f>
        <v/>
      </c>
      <c r="M23" s="48">
        <f>IF(COUNTIFS(data_kpi,$B23,data_month,M$6)=0,"",SUMIFS(data_value,data_kpi,$B23,data_month,M$6))</f>
        <v/>
      </c>
      <c r="N23" s="48">
        <f>IF(COUNTIFS(data_kpi,$B23,data_month,N$6)=0,"",SUMIFS(data_value,data_kpi,$B23,data_month,N$6))</f>
        <v/>
      </c>
      <c r="O23" s="48">
        <f>IF(COUNTIFS(data_kpi,$B23,data_month,O$6)=0,"",SUMIFS(data_value,data_kpi,$B23,data_month,O$6))</f>
        <v/>
      </c>
      <c r="P23" s="48">
        <f>IF(COUNTIFS(data_kpi,$B23,data_month,P$6)=0,"",SUMIFS(data_value,data_kpi,$B23,data_month,P$6))</f>
        <v/>
      </c>
      <c r="Q23" s="48">
        <f>IF(COUNTIFS(data_kpi,$B23,data_month,Q$6)=0,"",SUMIFS(data_value,data_kpi,$B23,data_month,Q$6))</f>
        <v/>
      </c>
      <c r="R23" s="48">
        <f>IF(COUNTIFS(data_kpi,$B23,data_month,R$6)=0,"",SUMIFS(data_value,data_kpi,$B23,data_month,R$6))</f>
        <v/>
      </c>
      <c r="S23" s="48">
        <f>IF(COUNTIFS(data_kpi,$B23,data_month,S$6)=0,"",SUMIFS(data_value,data_kpi,$B23,data_month,S$6))</f>
        <v/>
      </c>
      <c r="T23" s="48">
        <f>IF(COUNTIFS(data_kpi,$B23,data_month,T$6)=0,"",SUMIFS(data_value,data_kpi,$B23,data_month,T$6))</f>
        <v/>
      </c>
      <c r="U23" s="48">
        <f>IF(COUNTIFS(data_kpi,$B23,data_month,U$6)=0,"",SUMIFS(data_value,data_kpi,$B23,data_month,U$6))</f>
        <v/>
      </c>
      <c r="V23" s="48">
        <f>IF(COUNTIFS(data_kpi,$B23,data_month,V$6)=0,"",SUMIFS(data_value,data_kpi,$B23,data_month,V$6))</f>
        <v/>
      </c>
      <c r="W23" s="48">
        <f>IF(COUNTIFS(data_kpi,$B23,data_month,W$6)=0,"",SUMIFS(data_value,data_kpi,$B23,data_month,W$6))</f>
        <v/>
      </c>
      <c r="X23" s="48">
        <f>IF(COUNTIFS(data_kpi,$B23,data_month,X$6)=0,"",SUMIFS(data_value,data_kpi,$B23,data_month,X$6))</f>
        <v/>
      </c>
      <c r="Y23" s="48">
        <f>IF(COUNTIFS(data_kpi,$B23,data_month,Y$6)=0,"",SUMIFS(data_value,data_kpi,$B23,data_month,Y$6))</f>
        <v/>
      </c>
      <c r="Z23" s="48">
        <f>IF(COUNTIFS(data_kpi,$B23,data_month,Z$6)=0,"",SUMIFS(data_value,data_kpi,$B23,data_month,Z$6))</f>
        <v/>
      </c>
      <c r="AA23" s="48">
        <f>IF(COUNTIFS(data_kpi,$B23,data_month,AA$6)=0,"",SUMIFS(data_value,data_kpi,$B23,data_month,AA$6))</f>
        <v/>
      </c>
      <c r="AB23" s="48">
        <f>IF(COUNTIFS(data_kpi,$B23,data_month,AB$6)=0,"",SUMIFS(data_value,data_kpi,$B23,data_month,AB$6))</f>
        <v/>
      </c>
      <c r="AC23" s="49">
        <f>IF(INDEX(cat_target,MATCH($B23,cat_id,0))="","Monthly plan",INDEX(cat_target,MATCH($B23,cat_id,0)))</f>
        <v/>
      </c>
      <c r="AD23" s="6">
        <f>INDEX(cat_owner,MATCH($B23,cat_id,0))</f>
        <v/>
      </c>
    </row>
    <row r="24">
      <c r="B24" s="41" t="inlineStr">
        <is>
          <t>K18</t>
        </is>
      </c>
      <c r="C24" s="6">
        <f>INDEX(cat_name,MATCH($B24,cat_id,0))</f>
        <v/>
      </c>
      <c r="D24" s="6">
        <f>IF(INDEX(cat_direction,MATCH($B24,cat_id,0))="higher","Higher","Lower")</f>
        <v/>
      </c>
      <c r="E24" s="48">
        <f>IF(COUNTIFS(data_kpi,$B24,data_month,E$6)=0,"",SUMIFS(data_value,data_kpi,$B24,data_month,E$6))</f>
        <v/>
      </c>
      <c r="F24" s="48">
        <f>IF(COUNTIFS(data_kpi,$B24,data_month,F$6)=0,"",SUMIFS(data_value,data_kpi,$B24,data_month,F$6))</f>
        <v/>
      </c>
      <c r="G24" s="48">
        <f>IF(COUNTIFS(data_kpi,$B24,data_month,G$6)=0,"",SUMIFS(data_value,data_kpi,$B24,data_month,G$6))</f>
        <v/>
      </c>
      <c r="H24" s="48">
        <f>IF(COUNTIFS(data_kpi,$B24,data_month,H$6)=0,"",SUMIFS(data_value,data_kpi,$B24,data_month,H$6))</f>
        <v/>
      </c>
      <c r="I24" s="48">
        <f>IF(COUNTIFS(data_kpi,$B24,data_month,I$6)=0,"",SUMIFS(data_value,data_kpi,$B24,data_month,I$6))</f>
        <v/>
      </c>
      <c r="J24" s="48">
        <f>IF(COUNTIFS(data_kpi,$B24,data_month,J$6)=0,"",SUMIFS(data_value,data_kpi,$B24,data_month,J$6))</f>
        <v/>
      </c>
      <c r="K24" s="48">
        <f>IF(COUNTIFS(data_kpi,$B24,data_month,K$6)=0,"",SUMIFS(data_value,data_kpi,$B24,data_month,K$6))</f>
        <v/>
      </c>
      <c r="L24" s="48">
        <f>IF(COUNTIFS(data_kpi,$B24,data_month,L$6)=0,"",SUMIFS(data_value,data_kpi,$B24,data_month,L$6))</f>
        <v/>
      </c>
      <c r="M24" s="48">
        <f>IF(COUNTIFS(data_kpi,$B24,data_month,M$6)=0,"",SUMIFS(data_value,data_kpi,$B24,data_month,M$6))</f>
        <v/>
      </c>
      <c r="N24" s="48">
        <f>IF(COUNTIFS(data_kpi,$B24,data_month,N$6)=0,"",SUMIFS(data_value,data_kpi,$B24,data_month,N$6))</f>
        <v/>
      </c>
      <c r="O24" s="48">
        <f>IF(COUNTIFS(data_kpi,$B24,data_month,O$6)=0,"",SUMIFS(data_value,data_kpi,$B24,data_month,O$6))</f>
        <v/>
      </c>
      <c r="P24" s="48">
        <f>IF(COUNTIFS(data_kpi,$B24,data_month,P$6)=0,"",SUMIFS(data_value,data_kpi,$B24,data_month,P$6))</f>
        <v/>
      </c>
      <c r="Q24" s="48">
        <f>IF(COUNTIFS(data_kpi,$B24,data_month,Q$6)=0,"",SUMIFS(data_value,data_kpi,$B24,data_month,Q$6))</f>
        <v/>
      </c>
      <c r="R24" s="48">
        <f>IF(COUNTIFS(data_kpi,$B24,data_month,R$6)=0,"",SUMIFS(data_value,data_kpi,$B24,data_month,R$6))</f>
        <v/>
      </c>
      <c r="S24" s="48">
        <f>IF(COUNTIFS(data_kpi,$B24,data_month,S$6)=0,"",SUMIFS(data_value,data_kpi,$B24,data_month,S$6))</f>
        <v/>
      </c>
      <c r="T24" s="48">
        <f>IF(COUNTIFS(data_kpi,$B24,data_month,T$6)=0,"",SUMIFS(data_value,data_kpi,$B24,data_month,T$6))</f>
        <v/>
      </c>
      <c r="U24" s="48">
        <f>IF(COUNTIFS(data_kpi,$B24,data_month,U$6)=0,"",SUMIFS(data_value,data_kpi,$B24,data_month,U$6))</f>
        <v/>
      </c>
      <c r="V24" s="48">
        <f>IF(COUNTIFS(data_kpi,$B24,data_month,V$6)=0,"",SUMIFS(data_value,data_kpi,$B24,data_month,V$6))</f>
        <v/>
      </c>
      <c r="W24" s="48">
        <f>IF(COUNTIFS(data_kpi,$B24,data_month,W$6)=0,"",SUMIFS(data_value,data_kpi,$B24,data_month,W$6))</f>
        <v/>
      </c>
      <c r="X24" s="48">
        <f>IF(COUNTIFS(data_kpi,$B24,data_month,X$6)=0,"",SUMIFS(data_value,data_kpi,$B24,data_month,X$6))</f>
        <v/>
      </c>
      <c r="Y24" s="48">
        <f>IF(COUNTIFS(data_kpi,$B24,data_month,Y$6)=0,"",SUMIFS(data_value,data_kpi,$B24,data_month,Y$6))</f>
        <v/>
      </c>
      <c r="Z24" s="48">
        <f>IF(COUNTIFS(data_kpi,$B24,data_month,Z$6)=0,"",SUMIFS(data_value,data_kpi,$B24,data_month,Z$6))</f>
        <v/>
      </c>
      <c r="AA24" s="48">
        <f>IF(COUNTIFS(data_kpi,$B24,data_month,AA$6)=0,"",SUMIFS(data_value,data_kpi,$B24,data_month,AA$6))</f>
        <v/>
      </c>
      <c r="AB24" s="48">
        <f>IF(COUNTIFS(data_kpi,$B24,data_month,AB$6)=0,"",SUMIFS(data_value,data_kpi,$B24,data_month,AB$6))</f>
        <v/>
      </c>
      <c r="AC24" s="49">
        <f>IF(INDEX(cat_target,MATCH($B24,cat_id,0))="","Monthly plan",INDEX(cat_target,MATCH($B24,cat_id,0)))</f>
        <v/>
      </c>
      <c r="AD24" s="6">
        <f>INDEX(cat_owner,MATCH($B24,cat_id,0))</f>
        <v/>
      </c>
    </row>
    <row r="25">
      <c r="B25" s="41" t="inlineStr">
        <is>
          <t>K19</t>
        </is>
      </c>
      <c r="C25" s="6">
        <f>INDEX(cat_name,MATCH($B25,cat_id,0))</f>
        <v/>
      </c>
      <c r="D25" s="6">
        <f>IF(INDEX(cat_direction,MATCH($B25,cat_id,0))="higher","Higher","Lower")</f>
        <v/>
      </c>
      <c r="E25" s="50">
        <f>IF(COUNTIFS(data_kpi,$B25,data_month,E$6)=0,"",SUMIFS(data_value,data_kpi,$B25,data_month,E$6))</f>
        <v/>
      </c>
      <c r="F25" s="50">
        <f>IF(COUNTIFS(data_kpi,$B25,data_month,F$6)=0,"",SUMIFS(data_value,data_kpi,$B25,data_month,F$6))</f>
        <v/>
      </c>
      <c r="G25" s="50">
        <f>IF(COUNTIFS(data_kpi,$B25,data_month,G$6)=0,"",SUMIFS(data_value,data_kpi,$B25,data_month,G$6))</f>
        <v/>
      </c>
      <c r="H25" s="50">
        <f>IF(COUNTIFS(data_kpi,$B25,data_month,H$6)=0,"",SUMIFS(data_value,data_kpi,$B25,data_month,H$6))</f>
        <v/>
      </c>
      <c r="I25" s="50">
        <f>IF(COUNTIFS(data_kpi,$B25,data_month,I$6)=0,"",SUMIFS(data_value,data_kpi,$B25,data_month,I$6))</f>
        <v/>
      </c>
      <c r="J25" s="50">
        <f>IF(COUNTIFS(data_kpi,$B25,data_month,J$6)=0,"",SUMIFS(data_value,data_kpi,$B25,data_month,J$6))</f>
        <v/>
      </c>
      <c r="K25" s="50">
        <f>IF(COUNTIFS(data_kpi,$B25,data_month,K$6)=0,"",SUMIFS(data_value,data_kpi,$B25,data_month,K$6))</f>
        <v/>
      </c>
      <c r="L25" s="50">
        <f>IF(COUNTIFS(data_kpi,$B25,data_month,L$6)=0,"",SUMIFS(data_value,data_kpi,$B25,data_month,L$6))</f>
        <v/>
      </c>
      <c r="M25" s="50">
        <f>IF(COUNTIFS(data_kpi,$B25,data_month,M$6)=0,"",SUMIFS(data_value,data_kpi,$B25,data_month,M$6))</f>
        <v/>
      </c>
      <c r="N25" s="50">
        <f>IF(COUNTIFS(data_kpi,$B25,data_month,N$6)=0,"",SUMIFS(data_value,data_kpi,$B25,data_month,N$6))</f>
        <v/>
      </c>
      <c r="O25" s="50">
        <f>IF(COUNTIFS(data_kpi,$B25,data_month,O$6)=0,"",SUMIFS(data_value,data_kpi,$B25,data_month,O$6))</f>
        <v/>
      </c>
      <c r="P25" s="50">
        <f>IF(COUNTIFS(data_kpi,$B25,data_month,P$6)=0,"",SUMIFS(data_value,data_kpi,$B25,data_month,P$6))</f>
        <v/>
      </c>
      <c r="Q25" s="50">
        <f>IF(COUNTIFS(data_kpi,$B25,data_month,Q$6)=0,"",SUMIFS(data_value,data_kpi,$B25,data_month,Q$6))</f>
        <v/>
      </c>
      <c r="R25" s="50">
        <f>IF(COUNTIFS(data_kpi,$B25,data_month,R$6)=0,"",SUMIFS(data_value,data_kpi,$B25,data_month,R$6))</f>
        <v/>
      </c>
      <c r="S25" s="50">
        <f>IF(COUNTIFS(data_kpi,$B25,data_month,S$6)=0,"",SUMIFS(data_value,data_kpi,$B25,data_month,S$6))</f>
        <v/>
      </c>
      <c r="T25" s="50">
        <f>IF(COUNTIFS(data_kpi,$B25,data_month,T$6)=0,"",SUMIFS(data_value,data_kpi,$B25,data_month,T$6))</f>
        <v/>
      </c>
      <c r="U25" s="50">
        <f>IF(COUNTIFS(data_kpi,$B25,data_month,U$6)=0,"",SUMIFS(data_value,data_kpi,$B25,data_month,U$6))</f>
        <v/>
      </c>
      <c r="V25" s="50">
        <f>IF(COUNTIFS(data_kpi,$B25,data_month,V$6)=0,"",SUMIFS(data_value,data_kpi,$B25,data_month,V$6))</f>
        <v/>
      </c>
      <c r="W25" s="50">
        <f>IF(COUNTIFS(data_kpi,$B25,data_month,W$6)=0,"",SUMIFS(data_value,data_kpi,$B25,data_month,W$6))</f>
        <v/>
      </c>
      <c r="X25" s="50">
        <f>IF(COUNTIFS(data_kpi,$B25,data_month,X$6)=0,"",SUMIFS(data_value,data_kpi,$B25,data_month,X$6))</f>
        <v/>
      </c>
      <c r="Y25" s="50">
        <f>IF(COUNTIFS(data_kpi,$B25,data_month,Y$6)=0,"",SUMIFS(data_value,data_kpi,$B25,data_month,Y$6))</f>
        <v/>
      </c>
      <c r="Z25" s="50">
        <f>IF(COUNTIFS(data_kpi,$B25,data_month,Z$6)=0,"",SUMIFS(data_value,data_kpi,$B25,data_month,Z$6))</f>
        <v/>
      </c>
      <c r="AA25" s="50">
        <f>IF(COUNTIFS(data_kpi,$B25,data_month,AA$6)=0,"",SUMIFS(data_value,data_kpi,$B25,data_month,AA$6))</f>
        <v/>
      </c>
      <c r="AB25" s="50">
        <f>IF(COUNTIFS(data_kpi,$B25,data_month,AB$6)=0,"",SUMIFS(data_value,data_kpi,$B25,data_month,AB$6))</f>
        <v/>
      </c>
      <c r="AC25" s="51">
        <f>IF(INDEX(cat_target,MATCH($B25,cat_id,0))="","Monthly plan",INDEX(cat_target,MATCH($B25,cat_id,0)))</f>
        <v/>
      </c>
      <c r="AD25" s="6">
        <f>INDEX(cat_owner,MATCH($B25,cat_id,0))</f>
        <v/>
      </c>
    </row>
    <row r="26">
      <c r="B26" s="41" t="inlineStr">
        <is>
          <t>K20</t>
        </is>
      </c>
      <c r="C26" s="6">
        <f>INDEX(cat_name,MATCH($B26,cat_id,0))</f>
        <v/>
      </c>
      <c r="D26" s="6">
        <f>IF(INDEX(cat_direction,MATCH($B26,cat_id,0))="higher","Higher","Lower")</f>
        <v/>
      </c>
      <c r="E26" s="50">
        <f>IF(COUNTIFS(data_kpi,$B26,data_month,E$6)=0,"",SUMIFS(data_value,data_kpi,$B26,data_month,E$6))</f>
        <v/>
      </c>
      <c r="F26" s="50">
        <f>IF(COUNTIFS(data_kpi,$B26,data_month,F$6)=0,"",SUMIFS(data_value,data_kpi,$B26,data_month,F$6))</f>
        <v/>
      </c>
      <c r="G26" s="50">
        <f>IF(COUNTIFS(data_kpi,$B26,data_month,G$6)=0,"",SUMIFS(data_value,data_kpi,$B26,data_month,G$6))</f>
        <v/>
      </c>
      <c r="H26" s="50">
        <f>IF(COUNTIFS(data_kpi,$B26,data_month,H$6)=0,"",SUMIFS(data_value,data_kpi,$B26,data_month,H$6))</f>
        <v/>
      </c>
      <c r="I26" s="50">
        <f>IF(COUNTIFS(data_kpi,$B26,data_month,I$6)=0,"",SUMIFS(data_value,data_kpi,$B26,data_month,I$6))</f>
        <v/>
      </c>
      <c r="J26" s="50">
        <f>IF(COUNTIFS(data_kpi,$B26,data_month,J$6)=0,"",SUMIFS(data_value,data_kpi,$B26,data_month,J$6))</f>
        <v/>
      </c>
      <c r="K26" s="50">
        <f>IF(COUNTIFS(data_kpi,$B26,data_month,K$6)=0,"",SUMIFS(data_value,data_kpi,$B26,data_month,K$6))</f>
        <v/>
      </c>
      <c r="L26" s="50">
        <f>IF(COUNTIFS(data_kpi,$B26,data_month,L$6)=0,"",SUMIFS(data_value,data_kpi,$B26,data_month,L$6))</f>
        <v/>
      </c>
      <c r="M26" s="50">
        <f>IF(COUNTIFS(data_kpi,$B26,data_month,M$6)=0,"",SUMIFS(data_value,data_kpi,$B26,data_month,M$6))</f>
        <v/>
      </c>
      <c r="N26" s="50">
        <f>IF(COUNTIFS(data_kpi,$B26,data_month,N$6)=0,"",SUMIFS(data_value,data_kpi,$B26,data_month,N$6))</f>
        <v/>
      </c>
      <c r="O26" s="50">
        <f>IF(COUNTIFS(data_kpi,$B26,data_month,O$6)=0,"",SUMIFS(data_value,data_kpi,$B26,data_month,O$6))</f>
        <v/>
      </c>
      <c r="P26" s="50">
        <f>IF(COUNTIFS(data_kpi,$B26,data_month,P$6)=0,"",SUMIFS(data_value,data_kpi,$B26,data_month,P$6))</f>
        <v/>
      </c>
      <c r="Q26" s="50">
        <f>IF(COUNTIFS(data_kpi,$B26,data_month,Q$6)=0,"",SUMIFS(data_value,data_kpi,$B26,data_month,Q$6))</f>
        <v/>
      </c>
      <c r="R26" s="50">
        <f>IF(COUNTIFS(data_kpi,$B26,data_month,R$6)=0,"",SUMIFS(data_value,data_kpi,$B26,data_month,R$6))</f>
        <v/>
      </c>
      <c r="S26" s="50">
        <f>IF(COUNTIFS(data_kpi,$B26,data_month,S$6)=0,"",SUMIFS(data_value,data_kpi,$B26,data_month,S$6))</f>
        <v/>
      </c>
      <c r="T26" s="50">
        <f>IF(COUNTIFS(data_kpi,$B26,data_month,T$6)=0,"",SUMIFS(data_value,data_kpi,$B26,data_month,T$6))</f>
        <v/>
      </c>
      <c r="U26" s="50">
        <f>IF(COUNTIFS(data_kpi,$B26,data_month,U$6)=0,"",SUMIFS(data_value,data_kpi,$B26,data_month,U$6))</f>
        <v/>
      </c>
      <c r="V26" s="50">
        <f>IF(COUNTIFS(data_kpi,$B26,data_month,V$6)=0,"",SUMIFS(data_value,data_kpi,$B26,data_month,V$6))</f>
        <v/>
      </c>
      <c r="W26" s="50">
        <f>IF(COUNTIFS(data_kpi,$B26,data_month,W$6)=0,"",SUMIFS(data_value,data_kpi,$B26,data_month,W$6))</f>
        <v/>
      </c>
      <c r="X26" s="50">
        <f>IF(COUNTIFS(data_kpi,$B26,data_month,X$6)=0,"",SUMIFS(data_value,data_kpi,$B26,data_month,X$6))</f>
        <v/>
      </c>
      <c r="Y26" s="50">
        <f>IF(COUNTIFS(data_kpi,$B26,data_month,Y$6)=0,"",SUMIFS(data_value,data_kpi,$B26,data_month,Y$6))</f>
        <v/>
      </c>
      <c r="Z26" s="50">
        <f>IF(COUNTIFS(data_kpi,$B26,data_month,Z$6)=0,"",SUMIFS(data_value,data_kpi,$B26,data_month,Z$6))</f>
        <v/>
      </c>
      <c r="AA26" s="50">
        <f>IF(COUNTIFS(data_kpi,$B26,data_month,AA$6)=0,"",SUMIFS(data_value,data_kpi,$B26,data_month,AA$6))</f>
        <v/>
      </c>
      <c r="AB26" s="50">
        <f>IF(COUNTIFS(data_kpi,$B26,data_month,AB$6)=0,"",SUMIFS(data_value,data_kpi,$B26,data_month,AB$6))</f>
        <v/>
      </c>
      <c r="AC26" s="51">
        <f>IF(INDEX(cat_target,MATCH($B26,cat_id,0))="","Monthly plan",INDEX(cat_target,MATCH($B26,cat_id,0)))</f>
        <v/>
      </c>
      <c r="AD26" s="6">
        <f>INDEX(cat_owner,MATCH($B26,cat_id,0))</f>
        <v/>
      </c>
    </row>
    <row r="27">
      <c r="B27" s="41" t="inlineStr">
        <is>
          <t>K21</t>
        </is>
      </c>
      <c r="C27" s="6">
        <f>INDEX(cat_name,MATCH($B27,cat_id,0))</f>
        <v/>
      </c>
      <c r="D27" s="6">
        <f>IF(INDEX(cat_direction,MATCH($B27,cat_id,0))="higher","Higher","Lower")</f>
        <v/>
      </c>
      <c r="E27" s="38">
        <f>IF(COUNTIFS(data_kpi,$B27,data_month,E$6)=0,"",SUMIFS(data_value,data_kpi,$B27,data_month,E$6))</f>
        <v/>
      </c>
      <c r="F27" s="38">
        <f>IF(COUNTIFS(data_kpi,$B27,data_month,F$6)=0,"",SUMIFS(data_value,data_kpi,$B27,data_month,F$6))</f>
        <v/>
      </c>
      <c r="G27" s="38">
        <f>IF(COUNTIFS(data_kpi,$B27,data_month,G$6)=0,"",SUMIFS(data_value,data_kpi,$B27,data_month,G$6))</f>
        <v/>
      </c>
      <c r="H27" s="38">
        <f>IF(COUNTIFS(data_kpi,$B27,data_month,H$6)=0,"",SUMIFS(data_value,data_kpi,$B27,data_month,H$6))</f>
        <v/>
      </c>
      <c r="I27" s="38">
        <f>IF(COUNTIFS(data_kpi,$B27,data_month,I$6)=0,"",SUMIFS(data_value,data_kpi,$B27,data_month,I$6))</f>
        <v/>
      </c>
      <c r="J27" s="38">
        <f>IF(COUNTIFS(data_kpi,$B27,data_month,J$6)=0,"",SUMIFS(data_value,data_kpi,$B27,data_month,J$6))</f>
        <v/>
      </c>
      <c r="K27" s="38">
        <f>IF(COUNTIFS(data_kpi,$B27,data_month,K$6)=0,"",SUMIFS(data_value,data_kpi,$B27,data_month,K$6))</f>
        <v/>
      </c>
      <c r="L27" s="38">
        <f>IF(COUNTIFS(data_kpi,$B27,data_month,L$6)=0,"",SUMIFS(data_value,data_kpi,$B27,data_month,L$6))</f>
        <v/>
      </c>
      <c r="M27" s="38">
        <f>IF(COUNTIFS(data_kpi,$B27,data_month,M$6)=0,"",SUMIFS(data_value,data_kpi,$B27,data_month,M$6))</f>
        <v/>
      </c>
      <c r="N27" s="38">
        <f>IF(COUNTIFS(data_kpi,$B27,data_month,N$6)=0,"",SUMIFS(data_value,data_kpi,$B27,data_month,N$6))</f>
        <v/>
      </c>
      <c r="O27" s="38">
        <f>IF(COUNTIFS(data_kpi,$B27,data_month,O$6)=0,"",SUMIFS(data_value,data_kpi,$B27,data_month,O$6))</f>
        <v/>
      </c>
      <c r="P27" s="38">
        <f>IF(COUNTIFS(data_kpi,$B27,data_month,P$6)=0,"",SUMIFS(data_value,data_kpi,$B27,data_month,P$6))</f>
        <v/>
      </c>
      <c r="Q27" s="38">
        <f>IF(COUNTIFS(data_kpi,$B27,data_month,Q$6)=0,"",SUMIFS(data_value,data_kpi,$B27,data_month,Q$6))</f>
        <v/>
      </c>
      <c r="R27" s="38">
        <f>IF(COUNTIFS(data_kpi,$B27,data_month,R$6)=0,"",SUMIFS(data_value,data_kpi,$B27,data_month,R$6))</f>
        <v/>
      </c>
      <c r="S27" s="38">
        <f>IF(COUNTIFS(data_kpi,$B27,data_month,S$6)=0,"",SUMIFS(data_value,data_kpi,$B27,data_month,S$6))</f>
        <v/>
      </c>
      <c r="T27" s="38">
        <f>IF(COUNTIFS(data_kpi,$B27,data_month,T$6)=0,"",SUMIFS(data_value,data_kpi,$B27,data_month,T$6))</f>
        <v/>
      </c>
      <c r="U27" s="38">
        <f>IF(COUNTIFS(data_kpi,$B27,data_month,U$6)=0,"",SUMIFS(data_value,data_kpi,$B27,data_month,U$6))</f>
        <v/>
      </c>
      <c r="V27" s="38">
        <f>IF(COUNTIFS(data_kpi,$B27,data_month,V$6)=0,"",SUMIFS(data_value,data_kpi,$B27,data_month,V$6))</f>
        <v/>
      </c>
      <c r="W27" s="38">
        <f>IF(COUNTIFS(data_kpi,$B27,data_month,W$6)=0,"",SUMIFS(data_value,data_kpi,$B27,data_month,W$6))</f>
        <v/>
      </c>
      <c r="X27" s="38">
        <f>IF(COUNTIFS(data_kpi,$B27,data_month,X$6)=0,"",SUMIFS(data_value,data_kpi,$B27,data_month,X$6))</f>
        <v/>
      </c>
      <c r="Y27" s="38">
        <f>IF(COUNTIFS(data_kpi,$B27,data_month,Y$6)=0,"",SUMIFS(data_value,data_kpi,$B27,data_month,Y$6))</f>
        <v/>
      </c>
      <c r="Z27" s="38">
        <f>IF(COUNTIFS(data_kpi,$B27,data_month,Z$6)=0,"",SUMIFS(data_value,data_kpi,$B27,data_month,Z$6))</f>
        <v/>
      </c>
      <c r="AA27" s="38">
        <f>IF(COUNTIFS(data_kpi,$B27,data_month,AA$6)=0,"",SUMIFS(data_value,data_kpi,$B27,data_month,AA$6))</f>
        <v/>
      </c>
      <c r="AB27" s="38">
        <f>IF(COUNTIFS(data_kpi,$B27,data_month,AB$6)=0,"",SUMIFS(data_value,data_kpi,$B27,data_month,AB$6))</f>
        <v/>
      </c>
      <c r="AC27" s="43">
        <f>IF(INDEX(cat_target,MATCH($B27,cat_id,0))="","Monthly plan",INDEX(cat_target,MATCH($B27,cat_id,0)))</f>
        <v/>
      </c>
      <c r="AD27" s="6">
        <f>INDEX(cat_owner,MATCH($B27,cat_id,0))</f>
        <v/>
      </c>
    </row>
    <row r="28">
      <c r="B28" s="41" t="inlineStr">
        <is>
          <t>K22</t>
        </is>
      </c>
      <c r="C28" s="6">
        <f>INDEX(cat_name,MATCH($B28,cat_id,0))</f>
        <v/>
      </c>
      <c r="D28" s="6">
        <f>IF(INDEX(cat_direction,MATCH($B28,cat_id,0))="higher","Higher","Lower")</f>
        <v/>
      </c>
      <c r="E28" s="52">
        <f>IF(COUNTIFS(data_kpi,$B28,data_month,E$6)=0,"",SUMIFS(data_value,data_kpi,$B28,data_month,E$6))</f>
        <v/>
      </c>
      <c r="F28" s="52">
        <f>IF(COUNTIFS(data_kpi,$B28,data_month,F$6)=0,"",SUMIFS(data_value,data_kpi,$B28,data_month,F$6))</f>
        <v/>
      </c>
      <c r="G28" s="52">
        <f>IF(COUNTIFS(data_kpi,$B28,data_month,G$6)=0,"",SUMIFS(data_value,data_kpi,$B28,data_month,G$6))</f>
        <v/>
      </c>
      <c r="H28" s="52">
        <f>IF(COUNTIFS(data_kpi,$B28,data_month,H$6)=0,"",SUMIFS(data_value,data_kpi,$B28,data_month,H$6))</f>
        <v/>
      </c>
      <c r="I28" s="52">
        <f>IF(COUNTIFS(data_kpi,$B28,data_month,I$6)=0,"",SUMIFS(data_value,data_kpi,$B28,data_month,I$6))</f>
        <v/>
      </c>
      <c r="J28" s="52">
        <f>IF(COUNTIFS(data_kpi,$B28,data_month,J$6)=0,"",SUMIFS(data_value,data_kpi,$B28,data_month,J$6))</f>
        <v/>
      </c>
      <c r="K28" s="52">
        <f>IF(COUNTIFS(data_kpi,$B28,data_month,K$6)=0,"",SUMIFS(data_value,data_kpi,$B28,data_month,K$6))</f>
        <v/>
      </c>
      <c r="L28" s="52">
        <f>IF(COUNTIFS(data_kpi,$B28,data_month,L$6)=0,"",SUMIFS(data_value,data_kpi,$B28,data_month,L$6))</f>
        <v/>
      </c>
      <c r="M28" s="52">
        <f>IF(COUNTIFS(data_kpi,$B28,data_month,M$6)=0,"",SUMIFS(data_value,data_kpi,$B28,data_month,M$6))</f>
        <v/>
      </c>
      <c r="N28" s="52">
        <f>IF(COUNTIFS(data_kpi,$B28,data_month,N$6)=0,"",SUMIFS(data_value,data_kpi,$B28,data_month,N$6))</f>
        <v/>
      </c>
      <c r="O28" s="52">
        <f>IF(COUNTIFS(data_kpi,$B28,data_month,O$6)=0,"",SUMIFS(data_value,data_kpi,$B28,data_month,O$6))</f>
        <v/>
      </c>
      <c r="P28" s="52">
        <f>IF(COUNTIFS(data_kpi,$B28,data_month,P$6)=0,"",SUMIFS(data_value,data_kpi,$B28,data_month,P$6))</f>
        <v/>
      </c>
      <c r="Q28" s="52">
        <f>IF(COUNTIFS(data_kpi,$B28,data_month,Q$6)=0,"",SUMIFS(data_value,data_kpi,$B28,data_month,Q$6))</f>
        <v/>
      </c>
      <c r="R28" s="52">
        <f>IF(COUNTIFS(data_kpi,$B28,data_month,R$6)=0,"",SUMIFS(data_value,data_kpi,$B28,data_month,R$6))</f>
        <v/>
      </c>
      <c r="S28" s="52">
        <f>IF(COUNTIFS(data_kpi,$B28,data_month,S$6)=0,"",SUMIFS(data_value,data_kpi,$B28,data_month,S$6))</f>
        <v/>
      </c>
      <c r="T28" s="52">
        <f>IF(COUNTIFS(data_kpi,$B28,data_month,T$6)=0,"",SUMIFS(data_value,data_kpi,$B28,data_month,T$6))</f>
        <v/>
      </c>
      <c r="U28" s="52">
        <f>IF(COUNTIFS(data_kpi,$B28,data_month,U$6)=0,"",SUMIFS(data_value,data_kpi,$B28,data_month,U$6))</f>
        <v/>
      </c>
      <c r="V28" s="52">
        <f>IF(COUNTIFS(data_kpi,$B28,data_month,V$6)=0,"",SUMIFS(data_value,data_kpi,$B28,data_month,V$6))</f>
        <v/>
      </c>
      <c r="W28" s="52">
        <f>IF(COUNTIFS(data_kpi,$B28,data_month,W$6)=0,"",SUMIFS(data_value,data_kpi,$B28,data_month,W$6))</f>
        <v/>
      </c>
      <c r="X28" s="52">
        <f>IF(COUNTIFS(data_kpi,$B28,data_month,X$6)=0,"",SUMIFS(data_value,data_kpi,$B28,data_month,X$6))</f>
        <v/>
      </c>
      <c r="Y28" s="52">
        <f>IF(COUNTIFS(data_kpi,$B28,data_month,Y$6)=0,"",SUMIFS(data_value,data_kpi,$B28,data_month,Y$6))</f>
        <v/>
      </c>
      <c r="Z28" s="52">
        <f>IF(COUNTIFS(data_kpi,$B28,data_month,Z$6)=0,"",SUMIFS(data_value,data_kpi,$B28,data_month,Z$6))</f>
        <v/>
      </c>
      <c r="AA28" s="52">
        <f>IF(COUNTIFS(data_kpi,$B28,data_month,AA$6)=0,"",SUMIFS(data_value,data_kpi,$B28,data_month,AA$6))</f>
        <v/>
      </c>
      <c r="AB28" s="52">
        <f>IF(COUNTIFS(data_kpi,$B28,data_month,AB$6)=0,"",SUMIFS(data_value,data_kpi,$B28,data_month,AB$6))</f>
        <v/>
      </c>
      <c r="AC28" s="53">
        <f>IF(INDEX(cat_target,MATCH($B28,cat_id,0))="","Monthly plan",INDEX(cat_target,MATCH($B28,cat_id,0)))</f>
        <v/>
      </c>
      <c r="AD28" s="6">
        <f>INDEX(cat_owner,MATCH($B28,cat_id,0))</f>
        <v/>
      </c>
    </row>
  </sheetData>
  <conditionalFormatting sqref="E6:AB28">
    <cfRule type="expression" priority="1" dxfId="7">
      <formula>E$6=report_month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H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22" customWidth="1" min="3" max="3"/>
    <col width="22" customWidth="1" min="4" max="4"/>
    <col width="12" customWidth="1" min="5" max="5"/>
    <col width="12" customWidth="1" min="6" max="6"/>
    <col width="9" customWidth="1" min="7" max="7"/>
    <col width="80" customWidth="1" min="8" max="8"/>
  </cols>
  <sheetData>
    <row r="2">
      <c r="B2" s="12" t="inlineStr">
        <is>
          <t>Checks: the pack's totals against the warehouse</t>
        </is>
      </c>
    </row>
    <row r="3">
      <c r="B3" s="13" t="inlineStr">
        <is>
          <t>Synthetic data: Kelip Bank is a fictional Malaysian digital bank, and every figure is simulated.</t>
        </is>
      </c>
    </row>
    <row r="4">
      <c r="B4" s="2" t="inlineStr">
        <is>
          <t>Each figure in column C is a formula on this workbook's data sheets. Column D is a control total computed separately in SQL from the fact tables when the pack was built.</t>
        </is>
      </c>
    </row>
    <row r="5">
      <c r="B5" s="4">
        <f>IF(COUNTIF($G$8:$G$16,"PASS")=ROWS($G$8:$G$16),"All "&amp;ROWS($G$8:$G$16)&amp;" checks pass",COUNTIF($G$8:$G$16,"FAIL")&amp;" of "&amp;ROWS($G$8:$G$16)&amp;" checks fail")</f>
        <v/>
      </c>
    </row>
    <row r="7">
      <c r="B7" s="17" t="inlineStr">
        <is>
          <t>Check</t>
        </is>
      </c>
      <c r="C7" s="17" t="inlineStr">
        <is>
          <t>In this pack (formula)</t>
        </is>
      </c>
      <c r="D7" s="17" t="inlineStr">
        <is>
          <t>Control total from SQL</t>
        </is>
      </c>
      <c r="E7" s="17" t="inlineStr">
        <is>
          <t>Difference</t>
        </is>
      </c>
      <c r="F7" s="17" t="inlineStr">
        <is>
          <t>Allowed difference</t>
        </is>
      </c>
      <c r="G7" s="17" t="inlineStr">
        <is>
          <t>Result</t>
        </is>
      </c>
      <c r="H7" s="17" t="inlineStr">
        <is>
          <t>How the control total is computed</t>
        </is>
      </c>
    </row>
    <row r="8">
      <c r="B8" s="19" t="inlineStr">
        <is>
          <t>New customers, Sep 2024 to Aug 2026</t>
        </is>
      </c>
      <c r="C8" s="21">
        <f>SUMIFS(data_value,data_kpi,"K02")</f>
        <v/>
      </c>
      <c r="D8" s="54" t="n">
        <v>32574</v>
      </c>
      <c r="E8" s="55">
        <f>C8-D8</f>
        <v/>
      </c>
      <c r="F8" s="56" t="n">
        <v>0</v>
      </c>
      <c r="G8" s="57">
        <f>IF(ABS(E8)&lt;=F8,"PASS","FAIL")</f>
        <v/>
      </c>
      <c r="H8" s="58" t="inlineStr">
        <is>
          <t>Count of customers in marts.dim_customer</t>
        </is>
      </c>
    </row>
    <row r="9">
      <c r="B9" s="19" t="inlineStr">
        <is>
          <t>Monthly active customers, Aug 2026</t>
        </is>
      </c>
      <c r="C9" s="21">
        <f>SUMIFS(data_value,data_kpi,"K07",data_month,DATE(2026,8,1))</f>
        <v/>
      </c>
      <c r="D9" s="54" t="n">
        <v>18522</v>
      </c>
      <c r="E9" s="55">
        <f>C9-D9</f>
        <v/>
      </c>
      <c r="F9" s="56" t="n">
        <v>0</v>
      </c>
      <c r="G9" s="57">
        <f>IF(ABS(E9)&lt;=F9,"PASS","FAIL")</f>
        <v/>
      </c>
      <c r="H9" s="58" t="inlineStr">
        <is>
          <t>Active customers in marts.fct_customer_monthly for Aug 2026</t>
        </is>
      </c>
    </row>
    <row r="10">
      <c r="B10" s="19" t="inlineStr">
        <is>
          <t>Total deposits at 31 Aug 2026 (RM)</t>
        </is>
      </c>
      <c r="C10" s="59">
        <f>SUMIFS(data_value,data_kpi,"K13",data_month,DATE(2026,8,1))</f>
        <v/>
      </c>
      <c r="D10" s="60" t="n">
        <v>132182650.56</v>
      </c>
      <c r="E10" s="55">
        <f>C10-D10</f>
        <v/>
      </c>
      <c r="F10" s="61" t="n">
        <v>0.005</v>
      </c>
      <c r="G10" s="57">
        <f>IF(ABS(E10)&lt;=F10,"PASS","FAIL")</f>
        <v/>
      </c>
      <c r="H10" s="58" t="inlineStr">
        <is>
          <t>Every deposit posting in the ledger up to 31 Aug 2026 (the KPI uses month-end balances)</t>
        </is>
      </c>
    </row>
    <row r="11">
      <c r="B11" s="19" t="inlineStr">
        <is>
          <t>CASA ratio at 31 Aug 2026</t>
        </is>
      </c>
      <c r="C11" s="62">
        <f>SUMIFS(data_value,data_kpi,"K14",data_month,DATE(2026,8,1))</f>
        <v/>
      </c>
      <c r="D11" s="63" t="n">
        <v>0.7818568889499502</v>
      </c>
      <c r="E11" s="55">
        <f>C11-D11</f>
        <v/>
      </c>
      <c r="F11" s="61" t="n">
        <v>1e-09</v>
      </c>
      <c r="G11" s="57">
        <f>IF(ABS(E11)&lt;=F11,"PASS","FAIL")</f>
        <v/>
      </c>
      <c r="H11" s="58" t="inlineStr">
        <is>
          <t>Savings share of all deposit postings in the ledger up to 31 Aug 2026</t>
        </is>
      </c>
    </row>
    <row r="12">
      <c r="B12" s="19" t="inlineStr">
        <is>
          <t>Debit card spend, Sep 2024 to Aug 2026 (RM)</t>
        </is>
      </c>
      <c r="C12" s="59">
        <f>SUMIFS(data_value,data_kpi,"K11")</f>
        <v/>
      </c>
      <c r="D12" s="60" t="n">
        <v>193111205.83</v>
      </c>
      <c r="E12" s="55">
        <f>C12-D12</f>
        <v/>
      </c>
      <c r="F12" s="61" t="n">
        <v>0.005</v>
      </c>
      <c r="G12" s="57">
        <f>IF(ABS(E12)&lt;=F12,"PASS","FAIL")</f>
        <v/>
      </c>
      <c r="H12" s="58" t="inlineStr">
        <is>
          <t>Card purchases posted to the ledger</t>
        </is>
      </c>
    </row>
    <row r="13">
      <c r="B13" s="19" t="inlineStr">
        <is>
          <t>Financing disbursed, Jan 2025 to Aug 2026 (RM)</t>
        </is>
      </c>
      <c r="C13" s="59">
        <f>SUMIFS(data_value,data_kpi,"K18")</f>
        <v/>
      </c>
      <c r="D13" s="60" t="n">
        <v>67152000</v>
      </c>
      <c r="E13" s="55">
        <f>C13-D13</f>
        <v/>
      </c>
      <c r="F13" s="61" t="n">
        <v>0.005</v>
      </c>
      <c r="G13" s="57">
        <f>IF(ABS(E13)&lt;=F13,"PASS","FAIL")</f>
        <v/>
      </c>
      <c r="H13" s="58" t="inlineStr">
        <is>
          <t>Disbursements credited to savings in the ledger (the KPI uses the loan system)</t>
        </is>
      </c>
    </row>
    <row r="14">
      <c r="B14" s="19" t="inlineStr">
        <is>
          <t>Net interest income, Sep 2024 to Aug 2026 (RM)</t>
        </is>
      </c>
      <c r="C14" s="59">
        <f>SUMIFS(data_value,data_kpi,"K22")</f>
        <v/>
      </c>
      <c r="D14" s="60" t="n">
        <v>2154915.05</v>
      </c>
      <c r="E14" s="55">
        <f>C14-D14</f>
        <v/>
      </c>
      <c r="F14" s="61" t="n">
        <v>0.01</v>
      </c>
      <c r="G14" s="57">
        <f>IF(ABS(E14)&lt;=F14,"PASS","FAIL")</f>
        <v/>
      </c>
      <c r="H14" s="58" t="inlineStr">
        <is>
          <t>Loan interest in marts.fct_loan_status_monthly less deposit interest in marts.fct_account_balances_monthly</t>
        </is>
      </c>
    </row>
    <row r="15">
      <c r="B15" s="19" t="inlineStr">
        <is>
          <t>Rows on the KPI data sheet</t>
        </is>
      </c>
      <c r="C15" s="21">
        <f>COUNT(data_value)</f>
        <v/>
      </c>
      <c r="D15" s="54" t="n">
        <v>491</v>
      </c>
      <c r="E15" s="55">
        <f>C15-D15</f>
        <v/>
      </c>
      <c r="F15" s="56" t="n">
        <v>0</v>
      </c>
      <c r="G15" s="57">
        <f>IF(ABS(E15)&lt;=F15,"PASS","FAIL")</f>
        <v/>
      </c>
      <c r="H15" s="58" t="inlineStr">
        <is>
          <t>Rows in kpi.kpi_monthly</t>
        </is>
      </c>
    </row>
    <row r="16">
      <c r="B16" s="19" t="inlineStr">
        <is>
          <t>Rows on the Plan sheet</t>
        </is>
      </c>
      <c r="C16" s="21">
        <f>COUNT(plan_value)</f>
        <v/>
      </c>
      <c r="D16" s="54" t="n">
        <v>140</v>
      </c>
      <c r="E16" s="55">
        <f>C16-D16</f>
        <v/>
      </c>
      <c r="F16" s="56" t="n">
        <v>0</v>
      </c>
      <c r="G16" s="57">
        <f>IF(ABS(E16)&lt;=F16,"PASS","FAIL")</f>
        <v/>
      </c>
      <c r="H16" s="58" t="inlineStr">
        <is>
          <t>Rows in reference.plan_targets</t>
        </is>
      </c>
    </row>
    <row r="18">
      <c r="B18" s="2" t="inlineStr">
        <is>
          <t>The allowed difference is zero for counts, half a sen for money, and rounding error for the ratio.</t>
        </is>
      </c>
    </row>
  </sheetData>
  <conditionalFormatting sqref="G8:G16">
    <cfRule type="expression" priority="1" dxfId="0">
      <formula>$G8="PASS"</formula>
    </cfRule>
    <cfRule type="expression" priority="2" dxfId="2">
      <formula>$G8="FAIL"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B9B8B0"/>
    <outlinePr summaryBelow="1" summaryRight="1"/>
    <pageSetUpPr/>
  </sheetPr>
  <dimension ref="A1:G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2" customWidth="1" min="4" max="4"/>
    <col width="8" customWidth="1" min="5" max="5"/>
    <col width="10" customWidth="1" min="6" max="6"/>
    <col width="16" customWidth="1" min="7" max="7"/>
  </cols>
  <sheetData>
    <row r="1">
      <c r="A1" s="17" t="inlineStr">
        <is>
          <t>month_start</t>
        </is>
      </c>
      <c r="B1" s="17" t="inlineStr">
        <is>
          <t>kpi_id</t>
        </is>
      </c>
      <c r="C1" s="17" t="inlineStr">
        <is>
          <t>kpi_name</t>
        </is>
      </c>
      <c r="D1" s="17" t="inlineStr">
        <is>
          <t>family</t>
        </is>
      </c>
      <c r="E1" s="17" t="inlineStr">
        <is>
          <t>unit</t>
        </is>
      </c>
      <c r="F1" s="17" t="inlineStr">
        <is>
          <t>direction</t>
        </is>
      </c>
      <c r="G1" s="17" t="inlineStr">
        <is>
          <t>value</t>
        </is>
      </c>
    </row>
    <row r="2">
      <c r="A2" s="64" t="n">
        <v>45536</v>
      </c>
      <c r="B2" s="41" t="inlineStr">
        <is>
          <t>K01</t>
        </is>
      </c>
      <c r="C2" s="41" t="inlineStr">
        <is>
          <t>Applications started</t>
        </is>
      </c>
      <c r="D2" s="41" t="inlineStr">
        <is>
          <t>growth</t>
        </is>
      </c>
      <c r="E2" s="41" t="inlineStr">
        <is>
          <t>count</t>
        </is>
      </c>
      <c r="F2" s="41" t="inlineStr">
        <is>
          <t>higher</t>
        </is>
      </c>
      <c r="G2" s="7" t="n">
        <v>1545</v>
      </c>
    </row>
    <row r="3">
      <c r="A3" s="64" t="n">
        <v>45566</v>
      </c>
      <c r="B3" s="41" t="inlineStr">
        <is>
          <t>K01</t>
        </is>
      </c>
      <c r="C3" s="41" t="inlineStr">
        <is>
          <t>Applications started</t>
        </is>
      </c>
      <c r="D3" s="41" t="inlineStr">
        <is>
          <t>growth</t>
        </is>
      </c>
      <c r="E3" s="41" t="inlineStr">
        <is>
          <t>count</t>
        </is>
      </c>
      <c r="F3" s="41" t="inlineStr">
        <is>
          <t>higher</t>
        </is>
      </c>
      <c r="G3" s="7" t="n">
        <v>1653</v>
      </c>
    </row>
    <row r="4">
      <c r="A4" s="64" t="n">
        <v>45597</v>
      </c>
      <c r="B4" s="41" t="inlineStr">
        <is>
          <t>K01</t>
        </is>
      </c>
      <c r="C4" s="41" t="inlineStr">
        <is>
          <t>Applications started</t>
        </is>
      </c>
      <c r="D4" s="41" t="inlineStr">
        <is>
          <t>growth</t>
        </is>
      </c>
      <c r="E4" s="41" t="inlineStr">
        <is>
          <t>count</t>
        </is>
      </c>
      <c r="F4" s="41" t="inlineStr">
        <is>
          <t>higher</t>
        </is>
      </c>
      <c r="G4" s="7" t="n">
        <v>1933</v>
      </c>
    </row>
    <row r="5">
      <c r="A5" s="64" t="n">
        <v>45627</v>
      </c>
      <c r="B5" s="41" t="inlineStr">
        <is>
          <t>K01</t>
        </is>
      </c>
      <c r="C5" s="41" t="inlineStr">
        <is>
          <t>Applications started</t>
        </is>
      </c>
      <c r="D5" s="41" t="inlineStr">
        <is>
          <t>growth</t>
        </is>
      </c>
      <c r="E5" s="41" t="inlineStr">
        <is>
          <t>count</t>
        </is>
      </c>
      <c r="F5" s="41" t="inlineStr">
        <is>
          <t>higher</t>
        </is>
      </c>
      <c r="G5" s="7" t="n">
        <v>2065</v>
      </c>
    </row>
    <row r="6">
      <c r="A6" s="64" t="n">
        <v>45658</v>
      </c>
      <c r="B6" s="41" t="inlineStr">
        <is>
          <t>K01</t>
        </is>
      </c>
      <c r="C6" s="41" t="inlineStr">
        <is>
          <t>Applications started</t>
        </is>
      </c>
      <c r="D6" s="41" t="inlineStr">
        <is>
          <t>growth</t>
        </is>
      </c>
      <c r="E6" s="41" t="inlineStr">
        <is>
          <t>count</t>
        </is>
      </c>
      <c r="F6" s="41" t="inlineStr">
        <is>
          <t>higher</t>
        </is>
      </c>
      <c r="G6" s="7" t="n">
        <v>1954</v>
      </c>
    </row>
    <row r="7">
      <c r="A7" s="64" t="n">
        <v>45689</v>
      </c>
      <c r="B7" s="41" t="inlineStr">
        <is>
          <t>K01</t>
        </is>
      </c>
      <c r="C7" s="41" t="inlineStr">
        <is>
          <t>Applications started</t>
        </is>
      </c>
      <c r="D7" s="41" t="inlineStr">
        <is>
          <t>growth</t>
        </is>
      </c>
      <c r="E7" s="41" t="inlineStr">
        <is>
          <t>count</t>
        </is>
      </c>
      <c r="F7" s="41" t="inlineStr">
        <is>
          <t>higher</t>
        </is>
      </c>
      <c r="G7" s="7" t="n">
        <v>2001</v>
      </c>
    </row>
    <row r="8">
      <c r="A8" s="64" t="n">
        <v>45717</v>
      </c>
      <c r="B8" s="41" t="inlineStr">
        <is>
          <t>K01</t>
        </is>
      </c>
      <c r="C8" s="41" t="inlineStr">
        <is>
          <t>Applications started</t>
        </is>
      </c>
      <c r="D8" s="41" t="inlineStr">
        <is>
          <t>growth</t>
        </is>
      </c>
      <c r="E8" s="41" t="inlineStr">
        <is>
          <t>count</t>
        </is>
      </c>
      <c r="F8" s="41" t="inlineStr">
        <is>
          <t>higher</t>
        </is>
      </c>
      <c r="G8" s="7" t="n">
        <v>2420</v>
      </c>
    </row>
    <row r="9">
      <c r="A9" s="64" t="n">
        <v>45748</v>
      </c>
      <c r="B9" s="41" t="inlineStr">
        <is>
          <t>K01</t>
        </is>
      </c>
      <c r="C9" s="41" t="inlineStr">
        <is>
          <t>Applications started</t>
        </is>
      </c>
      <c r="D9" s="41" t="inlineStr">
        <is>
          <t>growth</t>
        </is>
      </c>
      <c r="E9" s="41" t="inlineStr">
        <is>
          <t>count</t>
        </is>
      </c>
      <c r="F9" s="41" t="inlineStr">
        <is>
          <t>higher</t>
        </is>
      </c>
      <c r="G9" s="7" t="n">
        <v>2301</v>
      </c>
    </row>
    <row r="10">
      <c r="A10" s="64" t="n">
        <v>45778</v>
      </c>
      <c r="B10" s="41" t="inlineStr">
        <is>
          <t>K01</t>
        </is>
      </c>
      <c r="C10" s="41" t="inlineStr">
        <is>
          <t>Applications started</t>
        </is>
      </c>
      <c r="D10" s="41" t="inlineStr">
        <is>
          <t>growth</t>
        </is>
      </c>
      <c r="E10" s="41" t="inlineStr">
        <is>
          <t>count</t>
        </is>
      </c>
      <c r="F10" s="41" t="inlineStr">
        <is>
          <t>higher</t>
        </is>
      </c>
      <c r="G10" s="7" t="n">
        <v>2458</v>
      </c>
    </row>
    <row r="11">
      <c r="A11" s="64" t="n">
        <v>45809</v>
      </c>
      <c r="B11" s="41" t="inlineStr">
        <is>
          <t>K01</t>
        </is>
      </c>
      <c r="C11" s="41" t="inlineStr">
        <is>
          <t>Applications started</t>
        </is>
      </c>
      <c r="D11" s="41" t="inlineStr">
        <is>
          <t>growth</t>
        </is>
      </c>
      <c r="E11" s="41" t="inlineStr">
        <is>
          <t>count</t>
        </is>
      </c>
      <c r="F11" s="41" t="inlineStr">
        <is>
          <t>higher</t>
        </is>
      </c>
      <c r="G11" s="7" t="n">
        <v>2367</v>
      </c>
    </row>
    <row r="12">
      <c r="A12" s="64" t="n">
        <v>45839</v>
      </c>
      <c r="B12" s="41" t="inlineStr">
        <is>
          <t>K01</t>
        </is>
      </c>
      <c r="C12" s="41" t="inlineStr">
        <is>
          <t>Applications started</t>
        </is>
      </c>
      <c r="D12" s="41" t="inlineStr">
        <is>
          <t>growth</t>
        </is>
      </c>
      <c r="E12" s="41" t="inlineStr">
        <is>
          <t>count</t>
        </is>
      </c>
      <c r="F12" s="41" t="inlineStr">
        <is>
          <t>higher</t>
        </is>
      </c>
      <c r="G12" s="7" t="n">
        <v>2570</v>
      </c>
    </row>
    <row r="13">
      <c r="A13" s="64" t="n">
        <v>45870</v>
      </c>
      <c r="B13" s="41" t="inlineStr">
        <is>
          <t>K01</t>
        </is>
      </c>
      <c r="C13" s="41" t="inlineStr">
        <is>
          <t>Applications started</t>
        </is>
      </c>
      <c r="D13" s="41" t="inlineStr">
        <is>
          <t>growth</t>
        </is>
      </c>
      <c r="E13" s="41" t="inlineStr">
        <is>
          <t>count</t>
        </is>
      </c>
      <c r="F13" s="41" t="inlineStr">
        <is>
          <t>higher</t>
        </is>
      </c>
      <c r="G13" s="7" t="n">
        <v>2639</v>
      </c>
    </row>
    <row r="14">
      <c r="A14" s="64" t="n">
        <v>45901</v>
      </c>
      <c r="B14" s="41" t="inlineStr">
        <is>
          <t>K01</t>
        </is>
      </c>
      <c r="C14" s="41" t="inlineStr">
        <is>
          <t>Applications started</t>
        </is>
      </c>
      <c r="D14" s="41" t="inlineStr">
        <is>
          <t>growth</t>
        </is>
      </c>
      <c r="E14" s="41" t="inlineStr">
        <is>
          <t>count</t>
        </is>
      </c>
      <c r="F14" s="41" t="inlineStr">
        <is>
          <t>higher</t>
        </is>
      </c>
      <c r="G14" s="7" t="n">
        <v>2612</v>
      </c>
    </row>
    <row r="15">
      <c r="A15" s="64" t="n">
        <v>45931</v>
      </c>
      <c r="B15" s="41" t="inlineStr">
        <is>
          <t>K01</t>
        </is>
      </c>
      <c r="C15" s="41" t="inlineStr">
        <is>
          <t>Applications started</t>
        </is>
      </c>
      <c r="D15" s="41" t="inlineStr">
        <is>
          <t>growth</t>
        </is>
      </c>
      <c r="E15" s="41" t="inlineStr">
        <is>
          <t>count</t>
        </is>
      </c>
      <c r="F15" s="41" t="inlineStr">
        <is>
          <t>higher</t>
        </is>
      </c>
      <c r="G15" s="7" t="n">
        <v>2859</v>
      </c>
    </row>
    <row r="16">
      <c r="A16" s="64" t="n">
        <v>45962</v>
      </c>
      <c r="B16" s="41" t="inlineStr">
        <is>
          <t>K01</t>
        </is>
      </c>
      <c r="C16" s="41" t="inlineStr">
        <is>
          <t>Applications started</t>
        </is>
      </c>
      <c r="D16" s="41" t="inlineStr">
        <is>
          <t>growth</t>
        </is>
      </c>
      <c r="E16" s="41" t="inlineStr">
        <is>
          <t>count</t>
        </is>
      </c>
      <c r="F16" s="41" t="inlineStr">
        <is>
          <t>higher</t>
        </is>
      </c>
      <c r="G16" s="7" t="n">
        <v>3000</v>
      </c>
    </row>
    <row r="17">
      <c r="A17" s="64" t="n">
        <v>45992</v>
      </c>
      <c r="B17" s="41" t="inlineStr">
        <is>
          <t>K01</t>
        </is>
      </c>
      <c r="C17" s="41" t="inlineStr">
        <is>
          <t>Applications started</t>
        </is>
      </c>
      <c r="D17" s="41" t="inlineStr">
        <is>
          <t>growth</t>
        </is>
      </c>
      <c r="E17" s="41" t="inlineStr">
        <is>
          <t>count</t>
        </is>
      </c>
      <c r="F17" s="41" t="inlineStr">
        <is>
          <t>higher</t>
        </is>
      </c>
      <c r="G17" s="7" t="n">
        <v>3230</v>
      </c>
    </row>
    <row r="18">
      <c r="A18" s="64" t="n">
        <v>46023</v>
      </c>
      <c r="B18" s="41" t="inlineStr">
        <is>
          <t>K01</t>
        </is>
      </c>
      <c r="C18" s="41" t="inlineStr">
        <is>
          <t>Applications started</t>
        </is>
      </c>
      <c r="D18" s="41" t="inlineStr">
        <is>
          <t>growth</t>
        </is>
      </c>
      <c r="E18" s="41" t="inlineStr">
        <is>
          <t>count</t>
        </is>
      </c>
      <c r="F18" s="41" t="inlineStr">
        <is>
          <t>higher</t>
        </is>
      </c>
      <c r="G18" s="7" t="n">
        <v>3143</v>
      </c>
    </row>
    <row r="19">
      <c r="A19" s="64" t="n">
        <v>46054</v>
      </c>
      <c r="B19" s="41" t="inlineStr">
        <is>
          <t>K01</t>
        </is>
      </c>
      <c r="C19" s="41" t="inlineStr">
        <is>
          <t>Applications started</t>
        </is>
      </c>
      <c r="D19" s="41" t="inlineStr">
        <is>
          <t>growth</t>
        </is>
      </c>
      <c r="E19" s="41" t="inlineStr">
        <is>
          <t>count</t>
        </is>
      </c>
      <c r="F19" s="41" t="inlineStr">
        <is>
          <t>higher</t>
        </is>
      </c>
      <c r="G19" s="7" t="n">
        <v>3043</v>
      </c>
    </row>
    <row r="20">
      <c r="A20" s="64" t="n">
        <v>46082</v>
      </c>
      <c r="B20" s="41" t="inlineStr">
        <is>
          <t>K01</t>
        </is>
      </c>
      <c r="C20" s="41" t="inlineStr">
        <is>
          <t>Applications started</t>
        </is>
      </c>
      <c r="D20" s="41" t="inlineStr">
        <is>
          <t>growth</t>
        </is>
      </c>
      <c r="E20" s="41" t="inlineStr">
        <is>
          <t>count</t>
        </is>
      </c>
      <c r="F20" s="41" t="inlineStr">
        <is>
          <t>higher</t>
        </is>
      </c>
      <c r="G20" s="7" t="n">
        <v>3362</v>
      </c>
    </row>
    <row r="21">
      <c r="A21" s="64" t="n">
        <v>46113</v>
      </c>
      <c r="B21" s="41" t="inlineStr">
        <is>
          <t>K01</t>
        </is>
      </c>
      <c r="C21" s="41" t="inlineStr">
        <is>
          <t>Applications started</t>
        </is>
      </c>
      <c r="D21" s="41" t="inlineStr">
        <is>
          <t>growth</t>
        </is>
      </c>
      <c r="E21" s="41" t="inlineStr">
        <is>
          <t>count</t>
        </is>
      </c>
      <c r="F21" s="41" t="inlineStr">
        <is>
          <t>higher</t>
        </is>
      </c>
      <c r="G21" s="7" t="n">
        <v>3183</v>
      </c>
    </row>
    <row r="22">
      <c r="A22" s="64" t="n">
        <v>46143</v>
      </c>
      <c r="B22" s="41" t="inlineStr">
        <is>
          <t>K01</t>
        </is>
      </c>
      <c r="C22" s="41" t="inlineStr">
        <is>
          <t>Applications started</t>
        </is>
      </c>
      <c r="D22" s="41" t="inlineStr">
        <is>
          <t>growth</t>
        </is>
      </c>
      <c r="E22" s="41" t="inlineStr">
        <is>
          <t>count</t>
        </is>
      </c>
      <c r="F22" s="41" t="inlineStr">
        <is>
          <t>higher</t>
        </is>
      </c>
      <c r="G22" s="7" t="n">
        <v>3490</v>
      </c>
    </row>
    <row r="23">
      <c r="A23" s="64" t="n">
        <v>46174</v>
      </c>
      <c r="B23" s="41" t="inlineStr">
        <is>
          <t>K01</t>
        </is>
      </c>
      <c r="C23" s="41" t="inlineStr">
        <is>
          <t>Applications started</t>
        </is>
      </c>
      <c r="D23" s="41" t="inlineStr">
        <is>
          <t>growth</t>
        </is>
      </c>
      <c r="E23" s="41" t="inlineStr">
        <is>
          <t>count</t>
        </is>
      </c>
      <c r="F23" s="41" t="inlineStr">
        <is>
          <t>higher</t>
        </is>
      </c>
      <c r="G23" s="7" t="n">
        <v>3452</v>
      </c>
    </row>
    <row r="24">
      <c r="A24" s="64" t="n">
        <v>46204</v>
      </c>
      <c r="B24" s="41" t="inlineStr">
        <is>
          <t>K01</t>
        </is>
      </c>
      <c r="C24" s="41" t="inlineStr">
        <is>
          <t>Applications started</t>
        </is>
      </c>
      <c r="D24" s="41" t="inlineStr">
        <is>
          <t>growth</t>
        </is>
      </c>
      <c r="E24" s="41" t="inlineStr">
        <is>
          <t>count</t>
        </is>
      </c>
      <c r="F24" s="41" t="inlineStr">
        <is>
          <t>higher</t>
        </is>
      </c>
      <c r="G24" s="7" t="n">
        <v>3669</v>
      </c>
    </row>
    <row r="25">
      <c r="A25" s="64" t="n">
        <v>46235</v>
      </c>
      <c r="B25" s="41" t="inlineStr">
        <is>
          <t>K01</t>
        </is>
      </c>
      <c r="C25" s="41" t="inlineStr">
        <is>
          <t>Applications started</t>
        </is>
      </c>
      <c r="D25" s="41" t="inlineStr">
        <is>
          <t>growth</t>
        </is>
      </c>
      <c r="E25" s="41" t="inlineStr">
        <is>
          <t>count</t>
        </is>
      </c>
      <c r="F25" s="41" t="inlineStr">
        <is>
          <t>higher</t>
        </is>
      </c>
      <c r="G25" s="7" t="n">
        <v>3639</v>
      </c>
    </row>
    <row r="26">
      <c r="A26" s="64" t="n">
        <v>45536</v>
      </c>
      <c r="B26" s="41" t="inlineStr">
        <is>
          <t>K02</t>
        </is>
      </c>
      <c r="C26" s="41" t="inlineStr">
        <is>
          <t>New customers</t>
        </is>
      </c>
      <c r="D26" s="41" t="inlineStr">
        <is>
          <t>growth</t>
        </is>
      </c>
      <c r="E26" s="41" t="inlineStr">
        <is>
          <t>count</t>
        </is>
      </c>
      <c r="F26" s="41" t="inlineStr">
        <is>
          <t>higher</t>
        </is>
      </c>
      <c r="G26" s="7" t="n">
        <v>776</v>
      </c>
    </row>
    <row r="27">
      <c r="A27" s="64" t="n">
        <v>45566</v>
      </c>
      <c r="B27" s="41" t="inlineStr">
        <is>
          <t>K02</t>
        </is>
      </c>
      <c r="C27" s="41" t="inlineStr">
        <is>
          <t>New customers</t>
        </is>
      </c>
      <c r="D27" s="41" t="inlineStr">
        <is>
          <t>growth</t>
        </is>
      </c>
      <c r="E27" s="41" t="inlineStr">
        <is>
          <t>count</t>
        </is>
      </c>
      <c r="F27" s="41" t="inlineStr">
        <is>
          <t>higher</t>
        </is>
      </c>
      <c r="G27" s="7" t="n">
        <v>810</v>
      </c>
    </row>
    <row r="28">
      <c r="A28" s="64" t="n">
        <v>45597</v>
      </c>
      <c r="B28" s="41" t="inlineStr">
        <is>
          <t>K02</t>
        </is>
      </c>
      <c r="C28" s="41" t="inlineStr">
        <is>
          <t>New customers</t>
        </is>
      </c>
      <c r="D28" s="41" t="inlineStr">
        <is>
          <t>growth</t>
        </is>
      </c>
      <c r="E28" s="41" t="inlineStr">
        <is>
          <t>count</t>
        </is>
      </c>
      <c r="F28" s="41" t="inlineStr">
        <is>
          <t>higher</t>
        </is>
      </c>
      <c r="G28" s="7" t="n">
        <v>970</v>
      </c>
    </row>
    <row r="29">
      <c r="A29" s="64" t="n">
        <v>45627</v>
      </c>
      <c r="B29" s="41" t="inlineStr">
        <is>
          <t>K02</t>
        </is>
      </c>
      <c r="C29" s="41" t="inlineStr">
        <is>
          <t>New customers</t>
        </is>
      </c>
      <c r="D29" s="41" t="inlineStr">
        <is>
          <t>growth</t>
        </is>
      </c>
      <c r="E29" s="41" t="inlineStr">
        <is>
          <t>count</t>
        </is>
      </c>
      <c r="F29" s="41" t="inlineStr">
        <is>
          <t>higher</t>
        </is>
      </c>
      <c r="G29" s="7" t="n">
        <v>1012</v>
      </c>
    </row>
    <row r="30">
      <c r="A30" s="64" t="n">
        <v>45658</v>
      </c>
      <c r="B30" s="41" t="inlineStr">
        <is>
          <t>K02</t>
        </is>
      </c>
      <c r="C30" s="41" t="inlineStr">
        <is>
          <t>New customers</t>
        </is>
      </c>
      <c r="D30" s="41" t="inlineStr">
        <is>
          <t>growth</t>
        </is>
      </c>
      <c r="E30" s="41" t="inlineStr">
        <is>
          <t>count</t>
        </is>
      </c>
      <c r="F30" s="41" t="inlineStr">
        <is>
          <t>higher</t>
        </is>
      </c>
      <c r="G30" s="7" t="n">
        <v>951</v>
      </c>
    </row>
    <row r="31">
      <c r="A31" s="64" t="n">
        <v>45689</v>
      </c>
      <c r="B31" s="41" t="inlineStr">
        <is>
          <t>K02</t>
        </is>
      </c>
      <c r="C31" s="41" t="inlineStr">
        <is>
          <t>New customers</t>
        </is>
      </c>
      <c r="D31" s="41" t="inlineStr">
        <is>
          <t>growth</t>
        </is>
      </c>
      <c r="E31" s="41" t="inlineStr">
        <is>
          <t>count</t>
        </is>
      </c>
      <c r="F31" s="41" t="inlineStr">
        <is>
          <t>higher</t>
        </is>
      </c>
      <c r="G31" s="7" t="n">
        <v>989</v>
      </c>
    </row>
    <row r="32">
      <c r="A32" s="64" t="n">
        <v>45717</v>
      </c>
      <c r="B32" s="41" t="inlineStr">
        <is>
          <t>K02</t>
        </is>
      </c>
      <c r="C32" s="41" t="inlineStr">
        <is>
          <t>New customers</t>
        </is>
      </c>
      <c r="D32" s="41" t="inlineStr">
        <is>
          <t>growth</t>
        </is>
      </c>
      <c r="E32" s="41" t="inlineStr">
        <is>
          <t>count</t>
        </is>
      </c>
      <c r="F32" s="41" t="inlineStr">
        <is>
          <t>higher</t>
        </is>
      </c>
      <c r="G32" s="7" t="n">
        <v>1173</v>
      </c>
    </row>
    <row r="33">
      <c r="A33" s="64" t="n">
        <v>45748</v>
      </c>
      <c r="B33" s="41" t="inlineStr">
        <is>
          <t>K02</t>
        </is>
      </c>
      <c r="C33" s="41" t="inlineStr">
        <is>
          <t>New customers</t>
        </is>
      </c>
      <c r="D33" s="41" t="inlineStr">
        <is>
          <t>growth</t>
        </is>
      </c>
      <c r="E33" s="41" t="inlineStr">
        <is>
          <t>count</t>
        </is>
      </c>
      <c r="F33" s="41" t="inlineStr">
        <is>
          <t>higher</t>
        </is>
      </c>
      <c r="G33" s="7" t="n">
        <v>1140</v>
      </c>
    </row>
    <row r="34">
      <c r="A34" s="64" t="n">
        <v>45778</v>
      </c>
      <c r="B34" s="41" t="inlineStr">
        <is>
          <t>K02</t>
        </is>
      </c>
      <c r="C34" s="41" t="inlineStr">
        <is>
          <t>New customers</t>
        </is>
      </c>
      <c r="D34" s="41" t="inlineStr">
        <is>
          <t>growth</t>
        </is>
      </c>
      <c r="E34" s="41" t="inlineStr">
        <is>
          <t>count</t>
        </is>
      </c>
      <c r="F34" s="41" t="inlineStr">
        <is>
          <t>higher</t>
        </is>
      </c>
      <c r="G34" s="7" t="n">
        <v>1171</v>
      </c>
    </row>
    <row r="35">
      <c r="A35" s="64" t="n">
        <v>45809</v>
      </c>
      <c r="B35" s="41" t="inlineStr">
        <is>
          <t>K02</t>
        </is>
      </c>
      <c r="C35" s="41" t="inlineStr">
        <is>
          <t>New customers</t>
        </is>
      </c>
      <c r="D35" s="41" t="inlineStr">
        <is>
          <t>growth</t>
        </is>
      </c>
      <c r="E35" s="41" t="inlineStr">
        <is>
          <t>count</t>
        </is>
      </c>
      <c r="F35" s="41" t="inlineStr">
        <is>
          <t>higher</t>
        </is>
      </c>
      <c r="G35" s="7" t="n">
        <v>1166</v>
      </c>
    </row>
    <row r="36">
      <c r="A36" s="64" t="n">
        <v>45839</v>
      </c>
      <c r="B36" s="41" t="inlineStr">
        <is>
          <t>K02</t>
        </is>
      </c>
      <c r="C36" s="41" t="inlineStr">
        <is>
          <t>New customers</t>
        </is>
      </c>
      <c r="D36" s="41" t="inlineStr">
        <is>
          <t>growth</t>
        </is>
      </c>
      <c r="E36" s="41" t="inlineStr">
        <is>
          <t>count</t>
        </is>
      </c>
      <c r="F36" s="41" t="inlineStr">
        <is>
          <t>higher</t>
        </is>
      </c>
      <c r="G36" s="7" t="n">
        <v>1248</v>
      </c>
    </row>
    <row r="37">
      <c r="A37" s="64" t="n">
        <v>45870</v>
      </c>
      <c r="B37" s="41" t="inlineStr">
        <is>
          <t>K02</t>
        </is>
      </c>
      <c r="C37" s="41" t="inlineStr">
        <is>
          <t>New customers</t>
        </is>
      </c>
      <c r="D37" s="41" t="inlineStr">
        <is>
          <t>growth</t>
        </is>
      </c>
      <c r="E37" s="41" t="inlineStr">
        <is>
          <t>count</t>
        </is>
      </c>
      <c r="F37" s="41" t="inlineStr">
        <is>
          <t>higher</t>
        </is>
      </c>
      <c r="G37" s="7" t="n">
        <v>1274</v>
      </c>
    </row>
    <row r="38">
      <c r="A38" s="64" t="n">
        <v>45901</v>
      </c>
      <c r="B38" s="41" t="inlineStr">
        <is>
          <t>K02</t>
        </is>
      </c>
      <c r="C38" s="41" t="inlineStr">
        <is>
          <t>New customers</t>
        </is>
      </c>
      <c r="D38" s="41" t="inlineStr">
        <is>
          <t>growth</t>
        </is>
      </c>
      <c r="E38" s="41" t="inlineStr">
        <is>
          <t>count</t>
        </is>
      </c>
      <c r="F38" s="41" t="inlineStr">
        <is>
          <t>higher</t>
        </is>
      </c>
      <c r="G38" s="7" t="n">
        <v>1301</v>
      </c>
    </row>
    <row r="39">
      <c r="A39" s="64" t="n">
        <v>45931</v>
      </c>
      <c r="B39" s="41" t="inlineStr">
        <is>
          <t>K02</t>
        </is>
      </c>
      <c r="C39" s="41" t="inlineStr">
        <is>
          <t>New customers</t>
        </is>
      </c>
      <c r="D39" s="41" t="inlineStr">
        <is>
          <t>growth</t>
        </is>
      </c>
      <c r="E39" s="41" t="inlineStr">
        <is>
          <t>count</t>
        </is>
      </c>
      <c r="F39" s="41" t="inlineStr">
        <is>
          <t>higher</t>
        </is>
      </c>
      <c r="G39" s="7" t="n">
        <v>1380</v>
      </c>
    </row>
    <row r="40">
      <c r="A40" s="64" t="n">
        <v>45962</v>
      </c>
      <c r="B40" s="41" t="inlineStr">
        <is>
          <t>K02</t>
        </is>
      </c>
      <c r="C40" s="41" t="inlineStr">
        <is>
          <t>New customers</t>
        </is>
      </c>
      <c r="D40" s="41" t="inlineStr">
        <is>
          <t>growth</t>
        </is>
      </c>
      <c r="E40" s="41" t="inlineStr">
        <is>
          <t>count</t>
        </is>
      </c>
      <c r="F40" s="41" t="inlineStr">
        <is>
          <t>higher</t>
        </is>
      </c>
      <c r="G40" s="7" t="n">
        <v>1465</v>
      </c>
    </row>
    <row r="41">
      <c r="A41" s="64" t="n">
        <v>45992</v>
      </c>
      <c r="B41" s="41" t="inlineStr">
        <is>
          <t>K02</t>
        </is>
      </c>
      <c r="C41" s="41" t="inlineStr">
        <is>
          <t>New customers</t>
        </is>
      </c>
      <c r="D41" s="41" t="inlineStr">
        <is>
          <t>growth</t>
        </is>
      </c>
      <c r="E41" s="41" t="inlineStr">
        <is>
          <t>count</t>
        </is>
      </c>
      <c r="F41" s="41" t="inlineStr">
        <is>
          <t>higher</t>
        </is>
      </c>
      <c r="G41" s="7" t="n">
        <v>1600</v>
      </c>
    </row>
    <row r="42">
      <c r="A42" s="64" t="n">
        <v>46023</v>
      </c>
      <c r="B42" s="41" t="inlineStr">
        <is>
          <t>K02</t>
        </is>
      </c>
      <c r="C42" s="41" t="inlineStr">
        <is>
          <t>New customers</t>
        </is>
      </c>
      <c r="D42" s="41" t="inlineStr">
        <is>
          <t>growth</t>
        </is>
      </c>
      <c r="E42" s="41" t="inlineStr">
        <is>
          <t>count</t>
        </is>
      </c>
      <c r="F42" s="41" t="inlineStr">
        <is>
          <t>higher</t>
        </is>
      </c>
      <c r="G42" s="7" t="n">
        <v>1546</v>
      </c>
    </row>
    <row r="43">
      <c r="A43" s="64" t="n">
        <v>46054</v>
      </c>
      <c r="B43" s="41" t="inlineStr">
        <is>
          <t>K02</t>
        </is>
      </c>
      <c r="C43" s="41" t="inlineStr">
        <is>
          <t>New customers</t>
        </is>
      </c>
      <c r="D43" s="41" t="inlineStr">
        <is>
          <t>growth</t>
        </is>
      </c>
      <c r="E43" s="41" t="inlineStr">
        <is>
          <t>count</t>
        </is>
      </c>
      <c r="F43" s="41" t="inlineStr">
        <is>
          <t>higher</t>
        </is>
      </c>
      <c r="G43" s="7" t="n">
        <v>1561</v>
      </c>
    </row>
    <row r="44">
      <c r="A44" s="64" t="n">
        <v>46082</v>
      </c>
      <c r="B44" s="41" t="inlineStr">
        <is>
          <t>K02</t>
        </is>
      </c>
      <c r="C44" s="41" t="inlineStr">
        <is>
          <t>New customers</t>
        </is>
      </c>
      <c r="D44" s="41" t="inlineStr">
        <is>
          <t>growth</t>
        </is>
      </c>
      <c r="E44" s="41" t="inlineStr">
        <is>
          <t>count</t>
        </is>
      </c>
      <c r="F44" s="41" t="inlineStr">
        <is>
          <t>higher</t>
        </is>
      </c>
      <c r="G44" s="7" t="n">
        <v>1721</v>
      </c>
    </row>
    <row r="45">
      <c r="A45" s="64" t="n">
        <v>46113</v>
      </c>
      <c r="B45" s="41" t="inlineStr">
        <is>
          <t>K02</t>
        </is>
      </c>
      <c r="C45" s="41" t="inlineStr">
        <is>
          <t>New customers</t>
        </is>
      </c>
      <c r="D45" s="41" t="inlineStr">
        <is>
          <t>growth</t>
        </is>
      </c>
      <c r="E45" s="41" t="inlineStr">
        <is>
          <t>count</t>
        </is>
      </c>
      <c r="F45" s="41" t="inlineStr">
        <is>
          <t>higher</t>
        </is>
      </c>
      <c r="G45" s="7" t="n">
        <v>1616</v>
      </c>
    </row>
    <row r="46">
      <c r="A46" s="64" t="n">
        <v>46143</v>
      </c>
      <c r="B46" s="41" t="inlineStr">
        <is>
          <t>K02</t>
        </is>
      </c>
      <c r="C46" s="41" t="inlineStr">
        <is>
          <t>New customers</t>
        </is>
      </c>
      <c r="D46" s="41" t="inlineStr">
        <is>
          <t>growth</t>
        </is>
      </c>
      <c r="E46" s="41" t="inlineStr">
        <is>
          <t>count</t>
        </is>
      </c>
      <c r="F46" s="41" t="inlineStr">
        <is>
          <t>higher</t>
        </is>
      </c>
      <c r="G46" s="7" t="n">
        <v>1906</v>
      </c>
    </row>
    <row r="47">
      <c r="A47" s="64" t="n">
        <v>46174</v>
      </c>
      <c r="B47" s="41" t="inlineStr">
        <is>
          <t>K02</t>
        </is>
      </c>
      <c r="C47" s="41" t="inlineStr">
        <is>
          <t>New customers</t>
        </is>
      </c>
      <c r="D47" s="41" t="inlineStr">
        <is>
          <t>growth</t>
        </is>
      </c>
      <c r="E47" s="41" t="inlineStr">
        <is>
          <t>count</t>
        </is>
      </c>
      <c r="F47" s="41" t="inlineStr">
        <is>
          <t>higher</t>
        </is>
      </c>
      <c r="G47" s="7" t="n">
        <v>1860</v>
      </c>
    </row>
    <row r="48">
      <c r="A48" s="64" t="n">
        <v>46204</v>
      </c>
      <c r="B48" s="41" t="inlineStr">
        <is>
          <t>K02</t>
        </is>
      </c>
      <c r="C48" s="41" t="inlineStr">
        <is>
          <t>New customers</t>
        </is>
      </c>
      <c r="D48" s="41" t="inlineStr">
        <is>
          <t>growth</t>
        </is>
      </c>
      <c r="E48" s="41" t="inlineStr">
        <is>
          <t>count</t>
        </is>
      </c>
      <c r="F48" s="41" t="inlineStr">
        <is>
          <t>higher</t>
        </is>
      </c>
      <c r="G48" s="7" t="n">
        <v>1966</v>
      </c>
    </row>
    <row r="49">
      <c r="A49" s="64" t="n">
        <v>46235</v>
      </c>
      <c r="B49" s="41" t="inlineStr">
        <is>
          <t>K02</t>
        </is>
      </c>
      <c r="C49" s="41" t="inlineStr">
        <is>
          <t>New customers</t>
        </is>
      </c>
      <c r="D49" s="41" t="inlineStr">
        <is>
          <t>growth</t>
        </is>
      </c>
      <c r="E49" s="41" t="inlineStr">
        <is>
          <t>count</t>
        </is>
      </c>
      <c r="F49" s="41" t="inlineStr">
        <is>
          <t>higher</t>
        </is>
      </c>
      <c r="G49" s="7" t="n">
        <v>1972</v>
      </c>
    </row>
    <row r="50">
      <c r="A50" s="64" t="n">
        <v>45536</v>
      </c>
      <c r="B50" s="41" t="inlineStr">
        <is>
          <t>K03</t>
        </is>
      </c>
      <c r="C50" s="41" t="inlineStr">
        <is>
          <t>Onboarding conversion</t>
        </is>
      </c>
      <c r="D50" s="41" t="inlineStr">
        <is>
          <t>onboarding</t>
        </is>
      </c>
      <c r="E50" s="41" t="inlineStr">
        <is>
          <t>pct</t>
        </is>
      </c>
      <c r="F50" s="41" t="inlineStr">
        <is>
          <t>higher</t>
        </is>
      </c>
      <c r="G50" s="65" t="n">
        <v>0.5067961165048543</v>
      </c>
    </row>
    <row r="51">
      <c r="A51" s="64" t="n">
        <v>45566</v>
      </c>
      <c r="B51" s="41" t="inlineStr">
        <is>
          <t>K03</t>
        </is>
      </c>
      <c r="C51" s="41" t="inlineStr">
        <is>
          <t>Onboarding conversion</t>
        </is>
      </c>
      <c r="D51" s="41" t="inlineStr">
        <is>
          <t>onboarding</t>
        </is>
      </c>
      <c r="E51" s="41" t="inlineStr">
        <is>
          <t>pct</t>
        </is>
      </c>
      <c r="F51" s="41" t="inlineStr">
        <is>
          <t>higher</t>
        </is>
      </c>
      <c r="G51" s="65" t="n">
        <v>0.4888082274652147</v>
      </c>
    </row>
    <row r="52">
      <c r="A52" s="64" t="n">
        <v>45597</v>
      </c>
      <c r="B52" s="41" t="inlineStr">
        <is>
          <t>K03</t>
        </is>
      </c>
      <c r="C52" s="41" t="inlineStr">
        <is>
          <t>Onboarding conversion</t>
        </is>
      </c>
      <c r="D52" s="41" t="inlineStr">
        <is>
          <t>onboarding</t>
        </is>
      </c>
      <c r="E52" s="41" t="inlineStr">
        <is>
          <t>pct</t>
        </is>
      </c>
      <c r="F52" s="41" t="inlineStr">
        <is>
          <t>higher</t>
        </is>
      </c>
      <c r="G52" s="65" t="n">
        <v>0.4992240041386446</v>
      </c>
    </row>
    <row r="53">
      <c r="A53" s="64" t="n">
        <v>45627</v>
      </c>
      <c r="B53" s="41" t="inlineStr">
        <is>
          <t>K03</t>
        </is>
      </c>
      <c r="C53" s="41" t="inlineStr">
        <is>
          <t>Onboarding conversion</t>
        </is>
      </c>
      <c r="D53" s="41" t="inlineStr">
        <is>
          <t>onboarding</t>
        </is>
      </c>
      <c r="E53" s="41" t="inlineStr">
        <is>
          <t>pct</t>
        </is>
      </c>
      <c r="F53" s="41" t="inlineStr">
        <is>
          <t>higher</t>
        </is>
      </c>
      <c r="G53" s="65" t="n">
        <v>0.4934624697336562</v>
      </c>
    </row>
    <row r="54">
      <c r="A54" s="64" t="n">
        <v>45658</v>
      </c>
      <c r="B54" s="41" t="inlineStr">
        <is>
          <t>K03</t>
        </is>
      </c>
      <c r="C54" s="41" t="inlineStr">
        <is>
          <t>Onboarding conversion</t>
        </is>
      </c>
      <c r="D54" s="41" t="inlineStr">
        <is>
          <t>onboarding</t>
        </is>
      </c>
      <c r="E54" s="41" t="inlineStr">
        <is>
          <t>pct</t>
        </is>
      </c>
      <c r="F54" s="41" t="inlineStr">
        <is>
          <t>higher</t>
        </is>
      </c>
      <c r="G54" s="65" t="n">
        <v>0.4887410440122825</v>
      </c>
    </row>
    <row r="55">
      <c r="A55" s="64" t="n">
        <v>45689</v>
      </c>
      <c r="B55" s="41" t="inlineStr">
        <is>
          <t>K03</t>
        </is>
      </c>
      <c r="C55" s="41" t="inlineStr">
        <is>
          <t>Onboarding conversion</t>
        </is>
      </c>
      <c r="D55" s="41" t="inlineStr">
        <is>
          <t>onboarding</t>
        </is>
      </c>
      <c r="E55" s="41" t="inlineStr">
        <is>
          <t>pct</t>
        </is>
      </c>
      <c r="F55" s="41" t="inlineStr">
        <is>
          <t>higher</t>
        </is>
      </c>
      <c r="G55" s="65" t="n">
        <v>0.4937531234382809</v>
      </c>
    </row>
    <row r="56">
      <c r="A56" s="64" t="n">
        <v>45717</v>
      </c>
      <c r="B56" s="41" t="inlineStr">
        <is>
          <t>K03</t>
        </is>
      </c>
      <c r="C56" s="41" t="inlineStr">
        <is>
          <t>Onboarding conversion</t>
        </is>
      </c>
      <c r="D56" s="41" t="inlineStr">
        <is>
          <t>onboarding</t>
        </is>
      </c>
      <c r="E56" s="41" t="inlineStr">
        <is>
          <t>pct</t>
        </is>
      </c>
      <c r="F56" s="41" t="inlineStr">
        <is>
          <t>higher</t>
        </is>
      </c>
      <c r="G56" s="65" t="n">
        <v>0.4834710743801653</v>
      </c>
    </row>
    <row r="57">
      <c r="A57" s="64" t="n">
        <v>45748</v>
      </c>
      <c r="B57" s="41" t="inlineStr">
        <is>
          <t>K03</t>
        </is>
      </c>
      <c r="C57" s="41" t="inlineStr">
        <is>
          <t>Onboarding conversion</t>
        </is>
      </c>
      <c r="D57" s="41" t="inlineStr">
        <is>
          <t>onboarding</t>
        </is>
      </c>
      <c r="E57" s="41" t="inlineStr">
        <is>
          <t>pct</t>
        </is>
      </c>
      <c r="F57" s="41" t="inlineStr">
        <is>
          <t>higher</t>
        </is>
      </c>
      <c r="G57" s="65" t="n">
        <v>0.4932637983485441</v>
      </c>
    </row>
    <row r="58">
      <c r="A58" s="64" t="n">
        <v>45778</v>
      </c>
      <c r="B58" s="41" t="inlineStr">
        <is>
          <t>K03</t>
        </is>
      </c>
      <c r="C58" s="41" t="inlineStr">
        <is>
          <t>Onboarding conversion</t>
        </is>
      </c>
      <c r="D58" s="41" t="inlineStr">
        <is>
          <t>onboarding</t>
        </is>
      </c>
      <c r="E58" s="41" t="inlineStr">
        <is>
          <t>pct</t>
        </is>
      </c>
      <c r="F58" s="41" t="inlineStr">
        <is>
          <t>higher</t>
        </is>
      </c>
      <c r="G58" s="65" t="n">
        <v>0.4800650935720098</v>
      </c>
    </row>
    <row r="59">
      <c r="A59" s="64" t="n">
        <v>45809</v>
      </c>
      <c r="B59" s="41" t="inlineStr">
        <is>
          <t>K03</t>
        </is>
      </c>
      <c r="C59" s="41" t="inlineStr">
        <is>
          <t>Onboarding conversion</t>
        </is>
      </c>
      <c r="D59" s="41" t="inlineStr">
        <is>
          <t>onboarding</t>
        </is>
      </c>
      <c r="E59" s="41" t="inlineStr">
        <is>
          <t>pct</t>
        </is>
      </c>
      <c r="F59" s="41" t="inlineStr">
        <is>
          <t>higher</t>
        </is>
      </c>
      <c r="G59" s="65" t="n">
        <v>0.4934516265314745</v>
      </c>
    </row>
    <row r="60">
      <c r="A60" s="64" t="n">
        <v>45839</v>
      </c>
      <c r="B60" s="41" t="inlineStr">
        <is>
          <t>K03</t>
        </is>
      </c>
      <c r="C60" s="41" t="inlineStr">
        <is>
          <t>Onboarding conversion</t>
        </is>
      </c>
      <c r="D60" s="41" t="inlineStr">
        <is>
          <t>onboarding</t>
        </is>
      </c>
      <c r="E60" s="41" t="inlineStr">
        <is>
          <t>pct</t>
        </is>
      </c>
      <c r="F60" s="41" t="inlineStr">
        <is>
          <t>higher</t>
        </is>
      </c>
      <c r="G60" s="65" t="n">
        <v>0.4824902723735409</v>
      </c>
    </row>
    <row r="61">
      <c r="A61" s="64" t="n">
        <v>45870</v>
      </c>
      <c r="B61" s="41" t="inlineStr">
        <is>
          <t>K03</t>
        </is>
      </c>
      <c r="C61" s="41" t="inlineStr">
        <is>
          <t>Onboarding conversion</t>
        </is>
      </c>
      <c r="D61" s="41" t="inlineStr">
        <is>
          <t>onboarding</t>
        </is>
      </c>
      <c r="E61" s="41" t="inlineStr">
        <is>
          <t>pct</t>
        </is>
      </c>
      <c r="F61" s="41" t="inlineStr">
        <is>
          <t>higher</t>
        </is>
      </c>
      <c r="G61" s="65" t="n">
        <v>0.4857900719969686</v>
      </c>
    </row>
    <row r="62">
      <c r="A62" s="64" t="n">
        <v>45901</v>
      </c>
      <c r="B62" s="41" t="inlineStr">
        <is>
          <t>K03</t>
        </is>
      </c>
      <c r="C62" s="41" t="inlineStr">
        <is>
          <t>Onboarding conversion</t>
        </is>
      </c>
      <c r="D62" s="41" t="inlineStr">
        <is>
          <t>onboarding</t>
        </is>
      </c>
      <c r="E62" s="41" t="inlineStr">
        <is>
          <t>pct</t>
        </is>
      </c>
      <c r="F62" s="41" t="inlineStr">
        <is>
          <t>higher</t>
        </is>
      </c>
      <c r="G62" s="65" t="n">
        <v>0.4954058192955589</v>
      </c>
    </row>
    <row r="63">
      <c r="A63" s="64" t="n">
        <v>45931</v>
      </c>
      <c r="B63" s="41" t="inlineStr">
        <is>
          <t>K03</t>
        </is>
      </c>
      <c r="C63" s="41" t="inlineStr">
        <is>
          <t>Onboarding conversion</t>
        </is>
      </c>
      <c r="D63" s="41" t="inlineStr">
        <is>
          <t>onboarding</t>
        </is>
      </c>
      <c r="E63" s="41" t="inlineStr">
        <is>
          <t>pct</t>
        </is>
      </c>
      <c r="F63" s="41" t="inlineStr">
        <is>
          <t>higher</t>
        </is>
      </c>
      <c r="G63" s="65" t="n">
        <v>0.4854844351171738</v>
      </c>
    </row>
    <row r="64">
      <c r="A64" s="64" t="n">
        <v>45962</v>
      </c>
      <c r="B64" s="41" t="inlineStr">
        <is>
          <t>K03</t>
        </is>
      </c>
      <c r="C64" s="41" t="inlineStr">
        <is>
          <t>Onboarding conversion</t>
        </is>
      </c>
      <c r="D64" s="41" t="inlineStr">
        <is>
          <t>onboarding</t>
        </is>
      </c>
      <c r="E64" s="41" t="inlineStr">
        <is>
          <t>pct</t>
        </is>
      </c>
      <c r="F64" s="41" t="inlineStr">
        <is>
          <t>higher</t>
        </is>
      </c>
      <c r="G64" s="65" t="n">
        <v>0.4883333333333333</v>
      </c>
    </row>
    <row r="65">
      <c r="A65" s="64" t="n">
        <v>45992</v>
      </c>
      <c r="B65" s="41" t="inlineStr">
        <is>
          <t>K03</t>
        </is>
      </c>
      <c r="C65" s="41" t="inlineStr">
        <is>
          <t>Onboarding conversion</t>
        </is>
      </c>
      <c r="D65" s="41" t="inlineStr">
        <is>
          <t>onboarding</t>
        </is>
      </c>
      <c r="E65" s="41" t="inlineStr">
        <is>
          <t>pct</t>
        </is>
      </c>
      <c r="F65" s="41" t="inlineStr">
        <is>
          <t>higher</t>
        </is>
      </c>
      <c r="G65" s="65" t="n">
        <v>0.4947368421052631</v>
      </c>
    </row>
    <row r="66">
      <c r="A66" s="64" t="n">
        <v>46023</v>
      </c>
      <c r="B66" s="41" t="inlineStr">
        <is>
          <t>K03</t>
        </is>
      </c>
      <c r="C66" s="41" t="inlineStr">
        <is>
          <t>Onboarding conversion</t>
        </is>
      </c>
      <c r="D66" s="41" t="inlineStr">
        <is>
          <t>onboarding</t>
        </is>
      </c>
      <c r="E66" s="41" t="inlineStr">
        <is>
          <t>pct</t>
        </is>
      </c>
      <c r="F66" s="41" t="inlineStr">
        <is>
          <t>higher</t>
        </is>
      </c>
      <c r="G66" s="65" t="n">
        <v>0.4922048997772829</v>
      </c>
    </row>
    <row r="67">
      <c r="A67" s="64" t="n">
        <v>46054</v>
      </c>
      <c r="B67" s="41" t="inlineStr">
        <is>
          <t>K03</t>
        </is>
      </c>
      <c r="C67" s="41" t="inlineStr">
        <is>
          <t>Onboarding conversion</t>
        </is>
      </c>
      <c r="D67" s="41" t="inlineStr">
        <is>
          <t>onboarding</t>
        </is>
      </c>
      <c r="E67" s="41" t="inlineStr">
        <is>
          <t>pct</t>
        </is>
      </c>
      <c r="F67" s="41" t="inlineStr">
        <is>
          <t>higher</t>
        </is>
      </c>
      <c r="G67" s="65" t="n">
        <v>0.5146237265856063</v>
      </c>
    </row>
    <row r="68">
      <c r="A68" s="64" t="n">
        <v>46082</v>
      </c>
      <c r="B68" s="41" t="inlineStr">
        <is>
          <t>K03</t>
        </is>
      </c>
      <c r="C68" s="41" t="inlineStr">
        <is>
          <t>Onboarding conversion</t>
        </is>
      </c>
      <c r="D68" s="41" t="inlineStr">
        <is>
          <t>onboarding</t>
        </is>
      </c>
      <c r="E68" s="41" t="inlineStr">
        <is>
          <t>pct</t>
        </is>
      </c>
      <c r="F68" s="41" t="inlineStr">
        <is>
          <t>higher</t>
        </is>
      </c>
      <c r="G68" s="65" t="n">
        <v>0.5116002379535991</v>
      </c>
    </row>
    <row r="69">
      <c r="A69" s="64" t="n">
        <v>46113</v>
      </c>
      <c r="B69" s="41" t="inlineStr">
        <is>
          <t>K03</t>
        </is>
      </c>
      <c r="C69" s="41" t="inlineStr">
        <is>
          <t>Onboarding conversion</t>
        </is>
      </c>
      <c r="D69" s="41" t="inlineStr">
        <is>
          <t>onboarding</t>
        </is>
      </c>
      <c r="E69" s="41" t="inlineStr">
        <is>
          <t>pct</t>
        </is>
      </c>
      <c r="F69" s="41" t="inlineStr">
        <is>
          <t>higher</t>
        </is>
      </c>
      <c r="G69" s="65" t="n">
        <v>0.5070688030160226</v>
      </c>
    </row>
    <row r="70">
      <c r="A70" s="64" t="n">
        <v>46143</v>
      </c>
      <c r="B70" s="41" t="inlineStr">
        <is>
          <t>K03</t>
        </is>
      </c>
      <c r="C70" s="41" t="inlineStr">
        <is>
          <t>Onboarding conversion</t>
        </is>
      </c>
      <c r="D70" s="41" t="inlineStr">
        <is>
          <t>onboarding</t>
        </is>
      </c>
      <c r="E70" s="41" t="inlineStr">
        <is>
          <t>pct</t>
        </is>
      </c>
      <c r="F70" s="41" t="inlineStr">
        <is>
          <t>higher</t>
        </is>
      </c>
      <c r="G70" s="65" t="n">
        <v>0.5446991404011461</v>
      </c>
    </row>
    <row r="71">
      <c r="A71" s="64" t="n">
        <v>46174</v>
      </c>
      <c r="B71" s="41" t="inlineStr">
        <is>
          <t>K03</t>
        </is>
      </c>
      <c r="C71" s="41" t="inlineStr">
        <is>
          <t>Onboarding conversion</t>
        </is>
      </c>
      <c r="D71" s="41" t="inlineStr">
        <is>
          <t>onboarding</t>
        </is>
      </c>
      <c r="E71" s="41" t="inlineStr">
        <is>
          <t>pct</t>
        </is>
      </c>
      <c r="F71" s="41" t="inlineStr">
        <is>
          <t>higher</t>
        </is>
      </c>
      <c r="G71" s="65" t="n">
        <v>0.5405561993047509</v>
      </c>
    </row>
    <row r="72">
      <c r="A72" s="64" t="n">
        <v>46204</v>
      </c>
      <c r="B72" s="41" t="inlineStr">
        <is>
          <t>K03</t>
        </is>
      </c>
      <c r="C72" s="41" t="inlineStr">
        <is>
          <t>Onboarding conversion</t>
        </is>
      </c>
      <c r="D72" s="41" t="inlineStr">
        <is>
          <t>onboarding</t>
        </is>
      </c>
      <c r="E72" s="41" t="inlineStr">
        <is>
          <t>pct</t>
        </is>
      </c>
      <c r="F72" s="41" t="inlineStr">
        <is>
          <t>higher</t>
        </is>
      </c>
      <c r="G72" s="65" t="n">
        <v>0.5355682747342601</v>
      </c>
    </row>
    <row r="73">
      <c r="A73" s="64" t="n">
        <v>46235</v>
      </c>
      <c r="B73" s="41" t="inlineStr">
        <is>
          <t>K03</t>
        </is>
      </c>
      <c r="C73" s="41" t="inlineStr">
        <is>
          <t>Onboarding conversion</t>
        </is>
      </c>
      <c r="D73" s="41" t="inlineStr">
        <is>
          <t>onboarding</t>
        </is>
      </c>
      <c r="E73" s="41" t="inlineStr">
        <is>
          <t>pct</t>
        </is>
      </c>
      <c r="F73" s="41" t="inlineStr">
        <is>
          <t>higher</t>
        </is>
      </c>
      <c r="G73" s="65" t="n">
        <v>0.5377851057982962</v>
      </c>
    </row>
    <row r="74">
      <c r="A74" s="64" t="n">
        <v>45536</v>
      </c>
      <c r="B74" s="41" t="inlineStr">
        <is>
          <t>K04</t>
        </is>
      </c>
      <c r="C74" s="41" t="inlineStr">
        <is>
          <t>eKYC completion rate</t>
        </is>
      </c>
      <c r="D74" s="41" t="inlineStr">
        <is>
          <t>onboarding</t>
        </is>
      </c>
      <c r="E74" s="41" t="inlineStr">
        <is>
          <t>pct</t>
        </is>
      </c>
      <c r="F74" s="41" t="inlineStr">
        <is>
          <t>higher</t>
        </is>
      </c>
      <c r="G74" s="65" t="n">
        <v>0.7047308319738989</v>
      </c>
    </row>
    <row r="75">
      <c r="A75" s="64" t="n">
        <v>45566</v>
      </c>
      <c r="B75" s="41" t="inlineStr">
        <is>
          <t>K04</t>
        </is>
      </c>
      <c r="C75" s="41" t="inlineStr">
        <is>
          <t>eKYC completion rate</t>
        </is>
      </c>
      <c r="D75" s="41" t="inlineStr">
        <is>
          <t>onboarding</t>
        </is>
      </c>
      <c r="E75" s="41" t="inlineStr">
        <is>
          <t>pct</t>
        </is>
      </c>
      <c r="F75" s="41" t="inlineStr">
        <is>
          <t>higher</t>
        </is>
      </c>
      <c r="G75" s="65" t="n">
        <v>0.7031375703942075</v>
      </c>
    </row>
    <row r="76">
      <c r="A76" s="64" t="n">
        <v>45597</v>
      </c>
      <c r="B76" s="41" t="inlineStr">
        <is>
          <t>K04</t>
        </is>
      </c>
      <c r="C76" s="41" t="inlineStr">
        <is>
          <t>eKYC completion rate</t>
        </is>
      </c>
      <c r="D76" s="41" t="inlineStr">
        <is>
          <t>onboarding</t>
        </is>
      </c>
      <c r="E76" s="41" t="inlineStr">
        <is>
          <t>pct</t>
        </is>
      </c>
      <c r="F76" s="41" t="inlineStr">
        <is>
          <t>higher</t>
        </is>
      </c>
      <c r="G76" s="65" t="n">
        <v>0.6924092409240924</v>
      </c>
    </row>
    <row r="77">
      <c r="A77" s="64" t="n">
        <v>45627</v>
      </c>
      <c r="B77" s="41" t="inlineStr">
        <is>
          <t>K04</t>
        </is>
      </c>
      <c r="C77" s="41" t="inlineStr">
        <is>
          <t>eKYC completion rate</t>
        </is>
      </c>
      <c r="D77" s="41" t="inlineStr">
        <is>
          <t>onboarding</t>
        </is>
      </c>
      <c r="E77" s="41" t="inlineStr">
        <is>
          <t>pct</t>
        </is>
      </c>
      <c r="F77" s="41" t="inlineStr">
        <is>
          <t>higher</t>
        </is>
      </c>
      <c r="G77" s="65" t="n">
        <v>0.7066752246469833</v>
      </c>
    </row>
    <row r="78">
      <c r="A78" s="64" t="n">
        <v>45658</v>
      </c>
      <c r="B78" s="41" t="inlineStr">
        <is>
          <t>K04</t>
        </is>
      </c>
      <c r="C78" s="41" t="inlineStr">
        <is>
          <t>eKYC completion rate</t>
        </is>
      </c>
      <c r="D78" s="41" t="inlineStr">
        <is>
          <t>onboarding</t>
        </is>
      </c>
      <c r="E78" s="41" t="inlineStr">
        <is>
          <t>pct</t>
        </is>
      </c>
      <c r="F78" s="41" t="inlineStr">
        <is>
          <t>higher</t>
        </is>
      </c>
      <c r="G78" s="65" t="n">
        <v>0.6946107784431138</v>
      </c>
    </row>
    <row r="79">
      <c r="A79" s="64" t="n">
        <v>45689</v>
      </c>
      <c r="B79" s="41" t="inlineStr">
        <is>
          <t>K04</t>
        </is>
      </c>
      <c r="C79" s="41" t="inlineStr">
        <is>
          <t>eKYC completion rate</t>
        </is>
      </c>
      <c r="D79" s="41" t="inlineStr">
        <is>
          <t>onboarding</t>
        </is>
      </c>
      <c r="E79" s="41" t="inlineStr">
        <is>
          <t>pct</t>
        </is>
      </c>
      <c r="F79" s="41" t="inlineStr">
        <is>
          <t>higher</t>
        </is>
      </c>
      <c r="G79" s="65" t="n">
        <v>0.7059986816084377</v>
      </c>
    </row>
    <row r="80">
      <c r="A80" s="64" t="n">
        <v>45717</v>
      </c>
      <c r="B80" s="41" t="inlineStr">
        <is>
          <t>K04</t>
        </is>
      </c>
      <c r="C80" s="41" t="inlineStr">
        <is>
          <t>eKYC completion rate</t>
        </is>
      </c>
      <c r="D80" s="41" t="inlineStr">
        <is>
          <t>onboarding</t>
        </is>
      </c>
      <c r="E80" s="41" t="inlineStr">
        <is>
          <t>pct</t>
        </is>
      </c>
      <c r="F80" s="41" t="inlineStr">
        <is>
          <t>higher</t>
        </is>
      </c>
      <c r="G80" s="65" t="n">
        <v>0.6844660194174758</v>
      </c>
    </row>
    <row r="81">
      <c r="A81" s="64" t="n">
        <v>45748</v>
      </c>
      <c r="B81" s="41" t="inlineStr">
        <is>
          <t>K04</t>
        </is>
      </c>
      <c r="C81" s="41" t="inlineStr">
        <is>
          <t>eKYC completion rate</t>
        </is>
      </c>
      <c r="D81" s="41" t="inlineStr">
        <is>
          <t>onboarding</t>
        </is>
      </c>
      <c r="E81" s="41" t="inlineStr">
        <is>
          <t>pct</t>
        </is>
      </c>
      <c r="F81" s="41" t="inlineStr">
        <is>
          <t>higher</t>
        </is>
      </c>
      <c r="G81" s="65" t="n">
        <v>0.705316742081448</v>
      </c>
    </row>
    <row r="82">
      <c r="A82" s="64" t="n">
        <v>45778</v>
      </c>
      <c r="B82" s="41" t="inlineStr">
        <is>
          <t>K04</t>
        </is>
      </c>
      <c r="C82" s="41" t="inlineStr">
        <is>
          <t>eKYC completion rate</t>
        </is>
      </c>
      <c r="D82" s="41" t="inlineStr">
        <is>
          <t>onboarding</t>
        </is>
      </c>
      <c r="E82" s="41" t="inlineStr">
        <is>
          <t>pct</t>
        </is>
      </c>
      <c r="F82" s="41" t="inlineStr">
        <is>
          <t>higher</t>
        </is>
      </c>
      <c r="G82" s="65" t="n">
        <v>0.6932249322493225</v>
      </c>
    </row>
    <row r="83">
      <c r="A83" s="64" t="n">
        <v>45809</v>
      </c>
      <c r="B83" s="41" t="inlineStr">
        <is>
          <t>K04</t>
        </is>
      </c>
      <c r="C83" s="41" t="inlineStr">
        <is>
          <t>eKYC completion rate</t>
        </is>
      </c>
      <c r="D83" s="41" t="inlineStr">
        <is>
          <t>onboarding</t>
        </is>
      </c>
      <c r="E83" s="41" t="inlineStr">
        <is>
          <t>pct</t>
        </is>
      </c>
      <c r="F83" s="41" t="inlineStr">
        <is>
          <t>higher</t>
        </is>
      </c>
      <c r="G83" s="65" t="n">
        <v>0.7008219178082192</v>
      </c>
    </row>
    <row r="84">
      <c r="A84" s="64" t="n">
        <v>45839</v>
      </c>
      <c r="B84" s="41" t="inlineStr">
        <is>
          <t>K04</t>
        </is>
      </c>
      <c r="C84" s="41" t="inlineStr">
        <is>
          <t>eKYC completion rate</t>
        </is>
      </c>
      <c r="D84" s="41" t="inlineStr">
        <is>
          <t>onboarding</t>
        </is>
      </c>
      <c r="E84" s="41" t="inlineStr">
        <is>
          <t>pct</t>
        </is>
      </c>
      <c r="F84" s="41" t="inlineStr">
        <is>
          <t>higher</t>
        </is>
      </c>
      <c r="G84" s="65" t="n">
        <v>0.701095461658842</v>
      </c>
    </row>
    <row r="85">
      <c r="A85" s="64" t="n">
        <v>45870</v>
      </c>
      <c r="B85" s="41" t="inlineStr">
        <is>
          <t>K04</t>
        </is>
      </c>
      <c r="C85" s="41" t="inlineStr">
        <is>
          <t>eKYC completion rate</t>
        </is>
      </c>
      <c r="D85" s="41" t="inlineStr">
        <is>
          <t>onboarding</t>
        </is>
      </c>
      <c r="E85" s="41" t="inlineStr">
        <is>
          <t>pct</t>
        </is>
      </c>
      <c r="F85" s="41" t="inlineStr">
        <is>
          <t>higher</t>
        </is>
      </c>
      <c r="G85" s="65" t="n">
        <v>0.6897918731417245</v>
      </c>
    </row>
    <row r="86">
      <c r="A86" s="64" t="n">
        <v>45901</v>
      </c>
      <c r="B86" s="41" t="inlineStr">
        <is>
          <t>K04</t>
        </is>
      </c>
      <c r="C86" s="41" t="inlineStr">
        <is>
          <t>eKYC completion rate</t>
        </is>
      </c>
      <c r="D86" s="41" t="inlineStr">
        <is>
          <t>onboarding</t>
        </is>
      </c>
      <c r="E86" s="41" t="inlineStr">
        <is>
          <t>pct</t>
        </is>
      </c>
      <c r="F86" s="41" t="inlineStr">
        <is>
          <t>higher</t>
        </is>
      </c>
      <c r="G86" s="65" t="n">
        <v>0.7008928571428571</v>
      </c>
    </row>
    <row r="87">
      <c r="A87" s="64" t="n">
        <v>45931</v>
      </c>
      <c r="B87" s="41" t="inlineStr">
        <is>
          <t>K04</t>
        </is>
      </c>
      <c r="C87" s="41" t="inlineStr">
        <is>
          <t>eKYC completion rate</t>
        </is>
      </c>
      <c r="D87" s="41" t="inlineStr">
        <is>
          <t>onboarding</t>
        </is>
      </c>
      <c r="E87" s="41" t="inlineStr">
        <is>
          <t>pct</t>
        </is>
      </c>
      <c r="F87" s="41" t="inlineStr">
        <is>
          <t>higher</t>
        </is>
      </c>
      <c r="G87" s="65" t="n">
        <v>0.6958504331965344</v>
      </c>
    </row>
    <row r="88">
      <c r="A88" s="64" t="n">
        <v>45962</v>
      </c>
      <c r="B88" s="41" t="inlineStr">
        <is>
          <t>K04</t>
        </is>
      </c>
      <c r="C88" s="41" t="inlineStr">
        <is>
          <t>eKYC completion rate</t>
        </is>
      </c>
      <c r="D88" s="41" t="inlineStr">
        <is>
          <t>onboarding</t>
        </is>
      </c>
      <c r="E88" s="41" t="inlineStr">
        <is>
          <t>pct</t>
        </is>
      </c>
      <c r="F88" s="41" t="inlineStr">
        <is>
          <t>higher</t>
        </is>
      </c>
      <c r="G88" s="65" t="n">
        <v>0.6945661700262927</v>
      </c>
    </row>
    <row r="89">
      <c r="A89" s="64" t="n">
        <v>45992</v>
      </c>
      <c r="B89" s="41" t="inlineStr">
        <is>
          <t>K04</t>
        </is>
      </c>
      <c r="C89" s="41" t="inlineStr">
        <is>
          <t>eKYC completion rate</t>
        </is>
      </c>
      <c r="D89" s="41" t="inlineStr">
        <is>
          <t>onboarding</t>
        </is>
      </c>
      <c r="E89" s="41" t="inlineStr">
        <is>
          <t>pct</t>
        </is>
      </c>
      <c r="F89" s="41" t="inlineStr">
        <is>
          <t>higher</t>
        </is>
      </c>
      <c r="G89" s="65" t="n">
        <v>0.7025392986698912</v>
      </c>
    </row>
    <row r="90">
      <c r="A90" s="64" t="n">
        <v>46023</v>
      </c>
      <c r="B90" s="41" t="inlineStr">
        <is>
          <t>K04</t>
        </is>
      </c>
      <c r="C90" s="41" t="inlineStr">
        <is>
          <t>eKYC completion rate</t>
        </is>
      </c>
      <c r="D90" s="41" t="inlineStr">
        <is>
          <t>onboarding</t>
        </is>
      </c>
      <c r="E90" s="41" t="inlineStr">
        <is>
          <t>pct</t>
        </is>
      </c>
      <c r="F90" s="41" t="inlineStr">
        <is>
          <t>higher</t>
        </is>
      </c>
      <c r="G90" s="65" t="n">
        <v>0.6939194741166803</v>
      </c>
    </row>
    <row r="91">
      <c r="A91" s="64" t="n">
        <v>46054</v>
      </c>
      <c r="B91" s="41" t="inlineStr">
        <is>
          <t>K04</t>
        </is>
      </c>
      <c r="C91" s="41" t="inlineStr">
        <is>
          <t>eKYC completion rate</t>
        </is>
      </c>
      <c r="D91" s="41" t="inlineStr">
        <is>
          <t>onboarding</t>
        </is>
      </c>
      <c r="E91" s="41" t="inlineStr">
        <is>
          <t>pct</t>
        </is>
      </c>
      <c r="F91" s="41" t="inlineStr">
        <is>
          <t>higher</t>
        </is>
      </c>
      <c r="G91" s="65" t="n">
        <v>0.7233676975945017</v>
      </c>
    </row>
    <row r="92">
      <c r="A92" s="64" t="n">
        <v>46082</v>
      </c>
      <c r="B92" s="41" t="inlineStr">
        <is>
          <t>K04</t>
        </is>
      </c>
      <c r="C92" s="41" t="inlineStr">
        <is>
          <t>eKYC completion rate</t>
        </is>
      </c>
      <c r="D92" s="41" t="inlineStr">
        <is>
          <t>onboarding</t>
        </is>
      </c>
      <c r="E92" s="41" t="inlineStr">
        <is>
          <t>pct</t>
        </is>
      </c>
      <c r="F92" s="41" t="inlineStr">
        <is>
          <t>higher</t>
        </is>
      </c>
      <c r="G92" s="65" t="n">
        <v>0.7379255740300871</v>
      </c>
    </row>
    <row r="93">
      <c r="A93" s="64" t="n">
        <v>46113</v>
      </c>
      <c r="B93" s="41" t="inlineStr">
        <is>
          <t>K04</t>
        </is>
      </c>
      <c r="C93" s="41" t="inlineStr">
        <is>
          <t>eKYC completion rate</t>
        </is>
      </c>
      <c r="D93" s="41" t="inlineStr">
        <is>
          <t>onboarding</t>
        </is>
      </c>
      <c r="E93" s="41" t="inlineStr">
        <is>
          <t>pct</t>
        </is>
      </c>
      <c r="F93" s="41" t="inlineStr">
        <is>
          <t>higher</t>
        </is>
      </c>
      <c r="G93" s="65" t="n">
        <v>0.7267106347897774</v>
      </c>
    </row>
    <row r="94">
      <c r="A94" s="64" t="n">
        <v>46143</v>
      </c>
      <c r="B94" s="41" t="inlineStr">
        <is>
          <t>K04</t>
        </is>
      </c>
      <c r="C94" s="41" t="inlineStr">
        <is>
          <t>eKYC completion rate</t>
        </is>
      </c>
      <c r="D94" s="41" t="inlineStr">
        <is>
          <t>onboarding</t>
        </is>
      </c>
      <c r="E94" s="41" t="inlineStr">
        <is>
          <t>pct</t>
        </is>
      </c>
      <c r="F94" s="41" t="inlineStr">
        <is>
          <t>higher</t>
        </is>
      </c>
      <c r="G94" s="65" t="n">
        <v>0.7766516516516516</v>
      </c>
    </row>
    <row r="95">
      <c r="A95" s="64" t="n">
        <v>46174</v>
      </c>
      <c r="B95" s="41" t="inlineStr">
        <is>
          <t>K04</t>
        </is>
      </c>
      <c r="C95" s="41" t="inlineStr">
        <is>
          <t>eKYC completion rate</t>
        </is>
      </c>
      <c r="D95" s="41" t="inlineStr">
        <is>
          <t>onboarding</t>
        </is>
      </c>
      <c r="E95" s="41" t="inlineStr">
        <is>
          <t>pct</t>
        </is>
      </c>
      <c r="F95" s="41" t="inlineStr">
        <is>
          <t>higher</t>
        </is>
      </c>
      <c r="G95" s="65" t="n">
        <v>0.7668314948649677</v>
      </c>
    </row>
    <row r="96">
      <c r="A96" s="64" t="n">
        <v>46204</v>
      </c>
      <c r="B96" s="41" t="inlineStr">
        <is>
          <t>K04</t>
        </is>
      </c>
      <c r="C96" s="41" t="inlineStr">
        <is>
          <t>eKYC completion rate</t>
        </is>
      </c>
      <c r="D96" s="41" t="inlineStr">
        <is>
          <t>onboarding</t>
        </is>
      </c>
      <c r="E96" s="41" t="inlineStr">
        <is>
          <t>pct</t>
        </is>
      </c>
      <c r="F96" s="41" t="inlineStr">
        <is>
          <t>higher</t>
        </is>
      </c>
      <c r="G96" s="65" t="n">
        <v>0.7619389587073608</v>
      </c>
    </row>
    <row r="97">
      <c r="A97" s="64" t="n">
        <v>46235</v>
      </c>
      <c r="B97" s="41" t="inlineStr">
        <is>
          <t>K04</t>
        </is>
      </c>
      <c r="C97" s="41" t="inlineStr">
        <is>
          <t>eKYC completion rate</t>
        </is>
      </c>
      <c r="D97" s="41" t="inlineStr">
        <is>
          <t>onboarding</t>
        </is>
      </c>
      <c r="E97" s="41" t="inlineStr">
        <is>
          <t>pct</t>
        </is>
      </c>
      <c r="F97" s="41" t="inlineStr">
        <is>
          <t>higher</t>
        </is>
      </c>
      <c r="G97" s="65" t="n">
        <v>0.7744496571634789</v>
      </c>
    </row>
    <row r="98">
      <c r="A98" s="64" t="n">
        <v>45536</v>
      </c>
      <c r="B98" s="41" t="inlineStr">
        <is>
          <t>K05</t>
        </is>
      </c>
      <c r="C98" s="41" t="inlineStr">
        <is>
          <t>Cost per new customer (CAC)</t>
        </is>
      </c>
      <c r="D98" s="41" t="inlineStr">
        <is>
          <t>growth</t>
        </is>
      </c>
      <c r="E98" s="41" t="inlineStr">
        <is>
          <t>rm</t>
        </is>
      </c>
      <c r="F98" s="41" t="inlineStr">
        <is>
          <t>lower</t>
        </is>
      </c>
      <c r="G98" s="66" t="n">
        <v>24.6331056701031</v>
      </c>
    </row>
    <row r="99">
      <c r="A99" s="64" t="n">
        <v>45566</v>
      </c>
      <c r="B99" s="41" t="inlineStr">
        <is>
          <t>K05</t>
        </is>
      </c>
      <c r="C99" s="41" t="inlineStr">
        <is>
          <t>Cost per new customer (CAC)</t>
        </is>
      </c>
      <c r="D99" s="41" t="inlineStr">
        <is>
          <t>growth</t>
        </is>
      </c>
      <c r="E99" s="41" t="inlineStr">
        <is>
          <t>rm</t>
        </is>
      </c>
      <c r="F99" s="41" t="inlineStr">
        <is>
          <t>lower</t>
        </is>
      </c>
      <c r="G99" s="66" t="n">
        <v>24.61020987654321</v>
      </c>
    </row>
    <row r="100">
      <c r="A100" s="64" t="n">
        <v>45597</v>
      </c>
      <c r="B100" s="41" t="inlineStr">
        <is>
          <t>K05</t>
        </is>
      </c>
      <c r="C100" s="41" t="inlineStr">
        <is>
          <t>Cost per new customer (CAC)</t>
        </is>
      </c>
      <c r="D100" s="41" t="inlineStr">
        <is>
          <t>growth</t>
        </is>
      </c>
      <c r="E100" s="41" t="inlineStr">
        <is>
          <t>rm</t>
        </is>
      </c>
      <c r="F100" s="41" t="inlineStr">
        <is>
          <t>lower</t>
        </is>
      </c>
      <c r="G100" s="66" t="n">
        <v>24.00315463917526</v>
      </c>
    </row>
    <row r="101">
      <c r="A101" s="64" t="n">
        <v>45627</v>
      </c>
      <c r="B101" s="41" t="inlineStr">
        <is>
          <t>K05</t>
        </is>
      </c>
      <c r="C101" s="41" t="inlineStr">
        <is>
          <t>Cost per new customer (CAC)</t>
        </is>
      </c>
      <c r="D101" s="41" t="inlineStr">
        <is>
          <t>growth</t>
        </is>
      </c>
      <c r="E101" s="41" t="inlineStr">
        <is>
          <t>rm</t>
        </is>
      </c>
      <c r="F101" s="41" t="inlineStr">
        <is>
          <t>lower</t>
        </is>
      </c>
      <c r="G101" s="66" t="n">
        <v>24.58209486166008</v>
      </c>
    </row>
    <row r="102">
      <c r="A102" s="64" t="n">
        <v>45658</v>
      </c>
      <c r="B102" s="41" t="inlineStr">
        <is>
          <t>K05</t>
        </is>
      </c>
      <c r="C102" s="41" t="inlineStr">
        <is>
          <t>Cost per new customer (CAC)</t>
        </is>
      </c>
      <c r="D102" s="41" t="inlineStr">
        <is>
          <t>growth</t>
        </is>
      </c>
      <c r="E102" s="41" t="inlineStr">
        <is>
          <t>rm</t>
        </is>
      </c>
      <c r="F102" s="41" t="inlineStr">
        <is>
          <t>lower</t>
        </is>
      </c>
      <c r="G102" s="66" t="n">
        <v>25.44681388012618</v>
      </c>
    </row>
    <row r="103">
      <c r="A103" s="64" t="n">
        <v>45689</v>
      </c>
      <c r="B103" s="41" t="inlineStr">
        <is>
          <t>K05</t>
        </is>
      </c>
      <c r="C103" s="41" t="inlineStr">
        <is>
          <t>Cost per new customer (CAC)</t>
        </is>
      </c>
      <c r="D103" s="41" t="inlineStr">
        <is>
          <t>growth</t>
        </is>
      </c>
      <c r="E103" s="41" t="inlineStr">
        <is>
          <t>rm</t>
        </is>
      </c>
      <c r="F103" s="41" t="inlineStr">
        <is>
          <t>lower</t>
        </is>
      </c>
      <c r="G103" s="66" t="n">
        <v>22.73290192113246</v>
      </c>
    </row>
    <row r="104">
      <c r="A104" s="64" t="n">
        <v>45717</v>
      </c>
      <c r="B104" s="41" t="inlineStr">
        <is>
          <t>K05</t>
        </is>
      </c>
      <c r="C104" s="41" t="inlineStr">
        <is>
          <t>Cost per new customer (CAC)</t>
        </is>
      </c>
      <c r="D104" s="41" t="inlineStr">
        <is>
          <t>growth</t>
        </is>
      </c>
      <c r="E104" s="41" t="inlineStr">
        <is>
          <t>rm</t>
        </is>
      </c>
      <c r="F104" s="41" t="inlineStr">
        <is>
          <t>lower</t>
        </is>
      </c>
      <c r="G104" s="66" t="n">
        <v>23.24566069906223</v>
      </c>
    </row>
    <row r="105">
      <c r="A105" s="64" t="n">
        <v>45748</v>
      </c>
      <c r="B105" s="41" t="inlineStr">
        <is>
          <t>K05</t>
        </is>
      </c>
      <c r="C105" s="41" t="inlineStr">
        <is>
          <t>Cost per new customer (CAC)</t>
        </is>
      </c>
      <c r="D105" s="41" t="inlineStr">
        <is>
          <t>growth</t>
        </is>
      </c>
      <c r="E105" s="41" t="inlineStr">
        <is>
          <t>rm</t>
        </is>
      </c>
      <c r="F105" s="41" t="inlineStr">
        <is>
          <t>lower</t>
        </is>
      </c>
      <c r="G105" s="66" t="n">
        <v>22.93847368421053</v>
      </c>
    </row>
    <row r="106">
      <c r="A106" s="64" t="n">
        <v>45778</v>
      </c>
      <c r="B106" s="41" t="inlineStr">
        <is>
          <t>K05</t>
        </is>
      </c>
      <c r="C106" s="41" t="inlineStr">
        <is>
          <t>Cost per new customer (CAC)</t>
        </is>
      </c>
      <c r="D106" s="41" t="inlineStr">
        <is>
          <t>growth</t>
        </is>
      </c>
      <c r="E106" s="41" t="inlineStr">
        <is>
          <t>rm</t>
        </is>
      </c>
      <c r="F106" s="41" t="inlineStr">
        <is>
          <t>lower</t>
        </is>
      </c>
      <c r="G106" s="66" t="n">
        <v>22.25725021349274</v>
      </c>
    </row>
    <row r="107">
      <c r="A107" s="64" t="n">
        <v>45809</v>
      </c>
      <c r="B107" s="41" t="inlineStr">
        <is>
          <t>K05</t>
        </is>
      </c>
      <c r="C107" s="41" t="inlineStr">
        <is>
          <t>Cost per new customer (CAC)</t>
        </is>
      </c>
      <c r="D107" s="41" t="inlineStr">
        <is>
          <t>growth</t>
        </is>
      </c>
      <c r="E107" s="41" t="inlineStr">
        <is>
          <t>rm</t>
        </is>
      </c>
      <c r="F107" s="41" t="inlineStr">
        <is>
          <t>lower</t>
        </is>
      </c>
      <c r="G107" s="66" t="n">
        <v>23.05335334476844</v>
      </c>
    </row>
    <row r="108">
      <c r="A108" s="64" t="n">
        <v>45839</v>
      </c>
      <c r="B108" s="41" t="inlineStr">
        <is>
          <t>K05</t>
        </is>
      </c>
      <c r="C108" s="41" t="inlineStr">
        <is>
          <t>Cost per new customer (CAC)</t>
        </is>
      </c>
      <c r="D108" s="41" t="inlineStr">
        <is>
          <t>growth</t>
        </is>
      </c>
      <c r="E108" s="41" t="inlineStr">
        <is>
          <t>rm</t>
        </is>
      </c>
      <c r="F108" s="41" t="inlineStr">
        <is>
          <t>lower</t>
        </is>
      </c>
      <c r="G108" s="66" t="n">
        <v>25.07015224358974</v>
      </c>
    </row>
    <row r="109">
      <c r="A109" s="64" t="n">
        <v>45870</v>
      </c>
      <c r="B109" s="41" t="inlineStr">
        <is>
          <t>K05</t>
        </is>
      </c>
      <c r="C109" s="41" t="inlineStr">
        <is>
          <t>Cost per new customer (CAC)</t>
        </is>
      </c>
      <c r="D109" s="41" t="inlineStr">
        <is>
          <t>growth</t>
        </is>
      </c>
      <c r="E109" s="41" t="inlineStr">
        <is>
          <t>rm</t>
        </is>
      </c>
      <c r="F109" s="41" t="inlineStr">
        <is>
          <t>lower</t>
        </is>
      </c>
      <c r="G109" s="66" t="n">
        <v>22.79819466248038</v>
      </c>
    </row>
    <row r="110">
      <c r="A110" s="64" t="n">
        <v>45901</v>
      </c>
      <c r="B110" s="41" t="inlineStr">
        <is>
          <t>K05</t>
        </is>
      </c>
      <c r="C110" s="41" t="inlineStr">
        <is>
          <t>Cost per new customer (CAC)</t>
        </is>
      </c>
      <c r="D110" s="41" t="inlineStr">
        <is>
          <t>growth</t>
        </is>
      </c>
      <c r="E110" s="41" t="inlineStr">
        <is>
          <t>rm</t>
        </is>
      </c>
      <c r="F110" s="41" t="inlineStr">
        <is>
          <t>lower</t>
        </is>
      </c>
      <c r="G110" s="66" t="n">
        <v>22.95950807071484</v>
      </c>
    </row>
    <row r="111">
      <c r="A111" s="64" t="n">
        <v>45931</v>
      </c>
      <c r="B111" s="41" t="inlineStr">
        <is>
          <t>K05</t>
        </is>
      </c>
      <c r="C111" s="41" t="inlineStr">
        <is>
          <t>Cost per new customer (CAC)</t>
        </is>
      </c>
      <c r="D111" s="41" t="inlineStr">
        <is>
          <t>growth</t>
        </is>
      </c>
      <c r="E111" s="41" t="inlineStr">
        <is>
          <t>rm</t>
        </is>
      </c>
      <c r="F111" s="41" t="inlineStr">
        <is>
          <t>lower</t>
        </is>
      </c>
      <c r="G111" s="66" t="n">
        <v>23.36694202898551</v>
      </c>
    </row>
    <row r="112">
      <c r="A112" s="64" t="n">
        <v>45962</v>
      </c>
      <c r="B112" s="41" t="inlineStr">
        <is>
          <t>K05</t>
        </is>
      </c>
      <c r="C112" s="41" t="inlineStr">
        <is>
          <t>Cost per new customer (CAC)</t>
        </is>
      </c>
      <c r="D112" s="41" t="inlineStr">
        <is>
          <t>growth</t>
        </is>
      </c>
      <c r="E112" s="41" t="inlineStr">
        <is>
          <t>rm</t>
        </is>
      </c>
      <c r="F112" s="41" t="inlineStr">
        <is>
          <t>lower</t>
        </is>
      </c>
      <c r="G112" s="66" t="n">
        <v>24.68735153583618</v>
      </c>
    </row>
    <row r="113">
      <c r="A113" s="64" t="n">
        <v>45992</v>
      </c>
      <c r="B113" s="41" t="inlineStr">
        <is>
          <t>K05</t>
        </is>
      </c>
      <c r="C113" s="41" t="inlineStr">
        <is>
          <t>Cost per new customer (CAC)</t>
        </is>
      </c>
      <c r="D113" s="41" t="inlineStr">
        <is>
          <t>growth</t>
        </is>
      </c>
      <c r="E113" s="41" t="inlineStr">
        <is>
          <t>rm</t>
        </is>
      </c>
      <c r="F113" s="41" t="inlineStr">
        <is>
          <t>lower</t>
        </is>
      </c>
      <c r="G113" s="66" t="n">
        <v>22.77105</v>
      </c>
    </row>
    <row r="114">
      <c r="A114" s="64" t="n">
        <v>46023</v>
      </c>
      <c r="B114" s="41" t="inlineStr">
        <is>
          <t>K05</t>
        </is>
      </c>
      <c r="C114" s="41" t="inlineStr">
        <is>
          <t>Cost per new customer (CAC)</t>
        </is>
      </c>
      <c r="D114" s="41" t="inlineStr">
        <is>
          <t>growth</t>
        </is>
      </c>
      <c r="E114" s="41" t="inlineStr">
        <is>
          <t>rm</t>
        </is>
      </c>
      <c r="F114" s="41" t="inlineStr">
        <is>
          <t>lower</t>
        </is>
      </c>
      <c r="G114" s="66" t="n">
        <v>22.38609314359638</v>
      </c>
    </row>
    <row r="115">
      <c r="A115" s="64" t="n">
        <v>46054</v>
      </c>
      <c r="B115" s="41" t="inlineStr">
        <is>
          <t>K05</t>
        </is>
      </c>
      <c r="C115" s="41" t="inlineStr">
        <is>
          <t>Cost per new customer (CAC)</t>
        </is>
      </c>
      <c r="D115" s="41" t="inlineStr">
        <is>
          <t>growth</t>
        </is>
      </c>
      <c r="E115" s="41" t="inlineStr">
        <is>
          <t>rm</t>
        </is>
      </c>
      <c r="F115" s="41" t="inlineStr">
        <is>
          <t>lower</t>
        </is>
      </c>
      <c r="G115" s="66" t="n">
        <v>22.8050736707239</v>
      </c>
    </row>
    <row r="116">
      <c r="A116" s="64" t="n">
        <v>46082</v>
      </c>
      <c r="B116" s="41" t="inlineStr">
        <is>
          <t>K05</t>
        </is>
      </c>
      <c r="C116" s="41" t="inlineStr">
        <is>
          <t>Cost per new customer (CAC)</t>
        </is>
      </c>
      <c r="D116" s="41" t="inlineStr">
        <is>
          <t>growth</t>
        </is>
      </c>
      <c r="E116" s="41" t="inlineStr">
        <is>
          <t>rm</t>
        </is>
      </c>
      <c r="F116" s="41" t="inlineStr">
        <is>
          <t>lower</t>
        </is>
      </c>
      <c r="G116" s="66" t="n">
        <v>22.96941894247531</v>
      </c>
    </row>
    <row r="117">
      <c r="A117" s="64" t="n">
        <v>46113</v>
      </c>
      <c r="B117" s="41" t="inlineStr">
        <is>
          <t>K05</t>
        </is>
      </c>
      <c r="C117" s="41" t="inlineStr">
        <is>
          <t>Cost per new customer (CAC)</t>
        </is>
      </c>
      <c r="D117" s="41" t="inlineStr">
        <is>
          <t>growth</t>
        </is>
      </c>
      <c r="E117" s="41" t="inlineStr">
        <is>
          <t>rm</t>
        </is>
      </c>
      <c r="F117" s="41" t="inlineStr">
        <is>
          <t>lower</t>
        </is>
      </c>
      <c r="G117" s="66" t="n">
        <v>22.80923267326733</v>
      </c>
    </row>
    <row r="118">
      <c r="A118" s="64" t="n">
        <v>46143</v>
      </c>
      <c r="B118" s="41" t="inlineStr">
        <is>
          <t>K05</t>
        </is>
      </c>
      <c r="C118" s="41" t="inlineStr">
        <is>
          <t>Cost per new customer (CAC)</t>
        </is>
      </c>
      <c r="D118" s="41" t="inlineStr">
        <is>
          <t>growth</t>
        </is>
      </c>
      <c r="E118" s="41" t="inlineStr">
        <is>
          <t>rm</t>
        </is>
      </c>
      <c r="F118" s="41" t="inlineStr">
        <is>
          <t>lower</t>
        </is>
      </c>
      <c r="G118" s="66" t="n">
        <v>20.86849422875131</v>
      </c>
    </row>
    <row r="119">
      <c r="A119" s="64" t="n">
        <v>46174</v>
      </c>
      <c r="B119" s="41" t="inlineStr">
        <is>
          <t>K05</t>
        </is>
      </c>
      <c r="C119" s="41" t="inlineStr">
        <is>
          <t>Cost per new customer (CAC)</t>
        </is>
      </c>
      <c r="D119" s="41" t="inlineStr">
        <is>
          <t>growth</t>
        </is>
      </c>
      <c r="E119" s="41" t="inlineStr">
        <is>
          <t>rm</t>
        </is>
      </c>
      <c r="F119" s="41" t="inlineStr">
        <is>
          <t>lower</t>
        </is>
      </c>
      <c r="G119" s="66" t="n">
        <v>21.72846774193548</v>
      </c>
    </row>
    <row r="120">
      <c r="A120" s="64" t="n">
        <v>46204</v>
      </c>
      <c r="B120" s="41" t="inlineStr">
        <is>
          <t>K05</t>
        </is>
      </c>
      <c r="C120" s="41" t="inlineStr">
        <is>
          <t>Cost per new customer (CAC)</t>
        </is>
      </c>
      <c r="D120" s="41" t="inlineStr">
        <is>
          <t>growth</t>
        </is>
      </c>
      <c r="E120" s="41" t="inlineStr">
        <is>
          <t>rm</t>
        </is>
      </c>
      <c r="F120" s="41" t="inlineStr">
        <is>
          <t>lower</t>
        </is>
      </c>
      <c r="G120" s="66" t="n">
        <v>21.62900813835198</v>
      </c>
    </row>
    <row r="121">
      <c r="A121" s="64" t="n">
        <v>45627</v>
      </c>
      <c r="B121" s="41" t="inlineStr">
        <is>
          <t>K06</t>
        </is>
      </c>
      <c r="C121" s="41" t="inlineStr">
        <is>
          <t>Month-3 active rate</t>
        </is>
      </c>
      <c r="D121" s="41" t="inlineStr">
        <is>
          <t>growth</t>
        </is>
      </c>
      <c r="E121" s="41" t="inlineStr">
        <is>
          <t>pct</t>
        </is>
      </c>
      <c r="F121" s="41" t="inlineStr">
        <is>
          <t>higher</t>
        </is>
      </c>
      <c r="G121" s="65" t="n">
        <v>0.6172680412371134</v>
      </c>
    </row>
    <row r="122">
      <c r="A122" s="64" t="n">
        <v>45658</v>
      </c>
      <c r="B122" s="41" t="inlineStr">
        <is>
          <t>K06</t>
        </is>
      </c>
      <c r="C122" s="41" t="inlineStr">
        <is>
          <t>Month-3 active rate</t>
        </is>
      </c>
      <c r="D122" s="41" t="inlineStr">
        <is>
          <t>growth</t>
        </is>
      </c>
      <c r="E122" s="41" t="inlineStr">
        <is>
          <t>pct</t>
        </is>
      </c>
      <c r="F122" s="41" t="inlineStr">
        <is>
          <t>higher</t>
        </is>
      </c>
      <c r="G122" s="65" t="n">
        <v>0.6234567901234568</v>
      </c>
    </row>
    <row r="123">
      <c r="A123" s="64" t="n">
        <v>45689</v>
      </c>
      <c r="B123" s="41" t="inlineStr">
        <is>
          <t>K06</t>
        </is>
      </c>
      <c r="C123" s="41" t="inlineStr">
        <is>
          <t>Month-3 active rate</t>
        </is>
      </c>
      <c r="D123" s="41" t="inlineStr">
        <is>
          <t>growth</t>
        </is>
      </c>
      <c r="E123" s="41" t="inlineStr">
        <is>
          <t>pct</t>
        </is>
      </c>
      <c r="F123" s="41" t="inlineStr">
        <is>
          <t>higher</t>
        </is>
      </c>
      <c r="G123" s="65" t="n">
        <v>0.622680412371134</v>
      </c>
    </row>
    <row r="124">
      <c r="A124" s="64" t="n">
        <v>45717</v>
      </c>
      <c r="B124" s="41" t="inlineStr">
        <is>
          <t>K06</t>
        </is>
      </c>
      <c r="C124" s="41" t="inlineStr">
        <is>
          <t>Month-3 active rate</t>
        </is>
      </c>
      <c r="D124" s="41" t="inlineStr">
        <is>
          <t>growth</t>
        </is>
      </c>
      <c r="E124" s="41" t="inlineStr">
        <is>
          <t>pct</t>
        </is>
      </c>
      <c r="F124" s="41" t="inlineStr">
        <is>
          <t>higher</t>
        </is>
      </c>
      <c r="G124" s="65" t="n">
        <v>0.6314229249011858</v>
      </c>
    </row>
    <row r="125">
      <c r="A125" s="64" t="n">
        <v>45748</v>
      </c>
      <c r="B125" s="41" t="inlineStr">
        <is>
          <t>K06</t>
        </is>
      </c>
      <c r="C125" s="41" t="inlineStr">
        <is>
          <t>Month-3 active rate</t>
        </is>
      </c>
      <c r="D125" s="41" t="inlineStr">
        <is>
          <t>growth</t>
        </is>
      </c>
      <c r="E125" s="41" t="inlineStr">
        <is>
          <t>pct</t>
        </is>
      </c>
      <c r="F125" s="41" t="inlineStr">
        <is>
          <t>higher</t>
        </is>
      </c>
      <c r="G125" s="65" t="n">
        <v>0.629863301787592</v>
      </c>
    </row>
    <row r="126">
      <c r="A126" s="64" t="n">
        <v>45778</v>
      </c>
      <c r="B126" s="41" t="inlineStr">
        <is>
          <t>K06</t>
        </is>
      </c>
      <c r="C126" s="41" t="inlineStr">
        <is>
          <t>Month-3 active rate</t>
        </is>
      </c>
      <c r="D126" s="41" t="inlineStr">
        <is>
          <t>growth</t>
        </is>
      </c>
      <c r="E126" s="41" t="inlineStr">
        <is>
          <t>pct</t>
        </is>
      </c>
      <c r="F126" s="41" t="inlineStr">
        <is>
          <t>higher</t>
        </is>
      </c>
      <c r="G126" s="65" t="n">
        <v>0.6400404448938322</v>
      </c>
    </row>
    <row r="127">
      <c r="A127" s="64" t="n">
        <v>45809</v>
      </c>
      <c r="B127" s="41" t="inlineStr">
        <is>
          <t>K06</t>
        </is>
      </c>
      <c r="C127" s="41" t="inlineStr">
        <is>
          <t>Month-3 active rate</t>
        </is>
      </c>
      <c r="D127" s="41" t="inlineStr">
        <is>
          <t>growth</t>
        </is>
      </c>
      <c r="E127" s="41" t="inlineStr">
        <is>
          <t>pct</t>
        </is>
      </c>
      <c r="F127" s="41" t="inlineStr">
        <is>
          <t>higher</t>
        </is>
      </c>
      <c r="G127" s="65" t="n">
        <v>0.6265984654731458</v>
      </c>
    </row>
    <row r="128">
      <c r="A128" s="64" t="n">
        <v>45839</v>
      </c>
      <c r="B128" s="41" t="inlineStr">
        <is>
          <t>K06</t>
        </is>
      </c>
      <c r="C128" s="41" t="inlineStr">
        <is>
          <t>Month-3 active rate</t>
        </is>
      </c>
      <c r="D128" s="41" t="inlineStr">
        <is>
          <t>growth</t>
        </is>
      </c>
      <c r="E128" s="41" t="inlineStr">
        <is>
          <t>pct</t>
        </is>
      </c>
      <c r="F128" s="41" t="inlineStr">
        <is>
          <t>higher</t>
        </is>
      </c>
      <c r="G128" s="65" t="n">
        <v>0.6614035087719298</v>
      </c>
    </row>
    <row r="129">
      <c r="A129" s="64" t="n">
        <v>45870</v>
      </c>
      <c r="B129" s="41" t="inlineStr">
        <is>
          <t>K06</t>
        </is>
      </c>
      <c r="C129" s="41" t="inlineStr">
        <is>
          <t>Month-3 active rate</t>
        </is>
      </c>
      <c r="D129" s="41" t="inlineStr">
        <is>
          <t>growth</t>
        </is>
      </c>
      <c r="E129" s="41" t="inlineStr">
        <is>
          <t>pct</t>
        </is>
      </c>
      <c r="F129" s="41" t="inlineStr">
        <is>
          <t>higher</t>
        </is>
      </c>
      <c r="G129" s="65" t="n">
        <v>0.627668659265585</v>
      </c>
    </row>
    <row r="130">
      <c r="A130" s="64" t="n">
        <v>45901</v>
      </c>
      <c r="B130" s="41" t="inlineStr">
        <is>
          <t>K06</t>
        </is>
      </c>
      <c r="C130" s="41" t="inlineStr">
        <is>
          <t>Month-3 active rate</t>
        </is>
      </c>
      <c r="D130" s="41" t="inlineStr">
        <is>
          <t>growth</t>
        </is>
      </c>
      <c r="E130" s="41" t="inlineStr">
        <is>
          <t>pct</t>
        </is>
      </c>
      <c r="F130" s="41" t="inlineStr">
        <is>
          <t>higher</t>
        </is>
      </c>
      <c r="G130" s="65" t="n">
        <v>0.6466552315608919</v>
      </c>
    </row>
    <row r="131">
      <c r="A131" s="64" t="n">
        <v>45931</v>
      </c>
      <c r="B131" s="41" t="inlineStr">
        <is>
          <t>K06</t>
        </is>
      </c>
      <c r="C131" s="41" t="inlineStr">
        <is>
          <t>Month-3 active rate</t>
        </is>
      </c>
      <c r="D131" s="41" t="inlineStr">
        <is>
          <t>growth</t>
        </is>
      </c>
      <c r="E131" s="41" t="inlineStr">
        <is>
          <t>pct</t>
        </is>
      </c>
      <c r="F131" s="41" t="inlineStr">
        <is>
          <t>higher</t>
        </is>
      </c>
      <c r="G131" s="65" t="n">
        <v>0.6217948717948718</v>
      </c>
    </row>
    <row r="132">
      <c r="A132" s="64" t="n">
        <v>45962</v>
      </c>
      <c r="B132" s="41" t="inlineStr">
        <is>
          <t>K06</t>
        </is>
      </c>
      <c r="C132" s="41" t="inlineStr">
        <is>
          <t>Month-3 active rate</t>
        </is>
      </c>
      <c r="D132" s="41" t="inlineStr">
        <is>
          <t>growth</t>
        </is>
      </c>
      <c r="E132" s="41" t="inlineStr">
        <is>
          <t>pct</t>
        </is>
      </c>
      <c r="F132" s="41" t="inlineStr">
        <is>
          <t>higher</t>
        </is>
      </c>
      <c r="G132" s="65" t="n">
        <v>0.6271585557299842</v>
      </c>
    </row>
    <row r="133">
      <c r="A133" s="64" t="n">
        <v>45992</v>
      </c>
      <c r="B133" s="41" t="inlineStr">
        <is>
          <t>K06</t>
        </is>
      </c>
      <c r="C133" s="41" t="inlineStr">
        <is>
          <t>Month-3 active rate</t>
        </is>
      </c>
      <c r="D133" s="41" t="inlineStr">
        <is>
          <t>growth</t>
        </is>
      </c>
      <c r="E133" s="41" t="inlineStr">
        <is>
          <t>pct</t>
        </is>
      </c>
      <c r="F133" s="41" t="inlineStr">
        <is>
          <t>higher</t>
        </is>
      </c>
      <c r="G133" s="65" t="n">
        <v>0.6448885472713297</v>
      </c>
    </row>
    <row r="134">
      <c r="A134" s="64" t="n">
        <v>46023</v>
      </c>
      <c r="B134" s="41" t="inlineStr">
        <is>
          <t>K06</t>
        </is>
      </c>
      <c r="C134" s="41" t="inlineStr">
        <is>
          <t>Month-3 active rate</t>
        </is>
      </c>
      <c r="D134" s="41" t="inlineStr">
        <is>
          <t>growth</t>
        </is>
      </c>
      <c r="E134" s="41" t="inlineStr">
        <is>
          <t>pct</t>
        </is>
      </c>
      <c r="F134" s="41" t="inlineStr">
        <is>
          <t>higher</t>
        </is>
      </c>
      <c r="G134" s="65" t="n">
        <v>0.6333333333333333</v>
      </c>
    </row>
    <row r="135">
      <c r="A135" s="64" t="n">
        <v>46054</v>
      </c>
      <c r="B135" s="41" t="inlineStr">
        <is>
          <t>K06</t>
        </is>
      </c>
      <c r="C135" s="41" t="inlineStr">
        <is>
          <t>Month-3 active rate</t>
        </is>
      </c>
      <c r="D135" s="41" t="inlineStr">
        <is>
          <t>growth</t>
        </is>
      </c>
      <c r="E135" s="41" t="inlineStr">
        <is>
          <t>pct</t>
        </is>
      </c>
      <c r="F135" s="41" t="inlineStr">
        <is>
          <t>higher</t>
        </is>
      </c>
      <c r="G135" s="65" t="n">
        <v>0.5959044368600682</v>
      </c>
    </row>
    <row r="136">
      <c r="A136" s="64" t="n">
        <v>46082</v>
      </c>
      <c r="B136" s="41" t="inlineStr">
        <is>
          <t>K06</t>
        </is>
      </c>
      <c r="C136" s="41" t="inlineStr">
        <is>
          <t>Month-3 active rate</t>
        </is>
      </c>
      <c r="D136" s="41" t="inlineStr">
        <is>
          <t>growth</t>
        </is>
      </c>
      <c r="E136" s="41" t="inlineStr">
        <is>
          <t>pct</t>
        </is>
      </c>
      <c r="F136" s="41" t="inlineStr">
        <is>
          <t>higher</t>
        </is>
      </c>
      <c r="G136" s="65" t="n">
        <v>0.59875</v>
      </c>
    </row>
    <row r="137">
      <c r="A137" s="64" t="n">
        <v>46113</v>
      </c>
      <c r="B137" s="41" t="inlineStr">
        <is>
          <t>K06</t>
        </is>
      </c>
      <c r="C137" s="41" t="inlineStr">
        <is>
          <t>Month-3 active rate</t>
        </is>
      </c>
      <c r="D137" s="41" t="inlineStr">
        <is>
          <t>growth</t>
        </is>
      </c>
      <c r="E137" s="41" t="inlineStr">
        <is>
          <t>pct</t>
        </is>
      </c>
      <c r="F137" s="41" t="inlineStr">
        <is>
          <t>higher</t>
        </is>
      </c>
      <c r="G137" s="65" t="n">
        <v>0.628719275549806</v>
      </c>
    </row>
    <row r="138">
      <c r="A138" s="64" t="n">
        <v>46143</v>
      </c>
      <c r="B138" s="41" t="inlineStr">
        <is>
          <t>K06</t>
        </is>
      </c>
      <c r="C138" s="41" t="inlineStr">
        <is>
          <t>Month-3 active rate</t>
        </is>
      </c>
      <c r="D138" s="41" t="inlineStr">
        <is>
          <t>growth</t>
        </is>
      </c>
      <c r="E138" s="41" t="inlineStr">
        <is>
          <t>pct</t>
        </is>
      </c>
      <c r="F138" s="41" t="inlineStr">
        <is>
          <t>higher</t>
        </is>
      </c>
      <c r="G138" s="65" t="n">
        <v>0.6335682254964766</v>
      </c>
    </row>
    <row r="139">
      <c r="A139" s="64" t="n">
        <v>46174</v>
      </c>
      <c r="B139" s="41" t="inlineStr">
        <is>
          <t>K06</t>
        </is>
      </c>
      <c r="C139" s="41" t="inlineStr">
        <is>
          <t>Month-3 active rate</t>
        </is>
      </c>
      <c r="D139" s="41" t="inlineStr">
        <is>
          <t>growth</t>
        </is>
      </c>
      <c r="E139" s="41" t="inlineStr">
        <is>
          <t>pct</t>
        </is>
      </c>
      <c r="F139" s="41" t="inlineStr">
        <is>
          <t>higher</t>
        </is>
      </c>
      <c r="G139" s="65" t="n">
        <v>0.6263800116211505</v>
      </c>
    </row>
    <row r="140">
      <c r="A140" s="64" t="n">
        <v>46204</v>
      </c>
      <c r="B140" s="41" t="inlineStr">
        <is>
          <t>K06</t>
        </is>
      </c>
      <c r="C140" s="41" t="inlineStr">
        <is>
          <t>Month-3 active rate</t>
        </is>
      </c>
      <c r="D140" s="41" t="inlineStr">
        <is>
          <t>growth</t>
        </is>
      </c>
      <c r="E140" s="41" t="inlineStr">
        <is>
          <t>pct</t>
        </is>
      </c>
      <c r="F140" s="41" t="inlineStr">
        <is>
          <t>higher</t>
        </is>
      </c>
      <c r="G140" s="65" t="n">
        <v>0.6268564356435643</v>
      </c>
    </row>
    <row r="141">
      <c r="A141" s="64" t="n">
        <v>46235</v>
      </c>
      <c r="B141" s="41" t="inlineStr">
        <is>
          <t>K06</t>
        </is>
      </c>
      <c r="C141" s="41" t="inlineStr">
        <is>
          <t>Month-3 active rate</t>
        </is>
      </c>
      <c r="D141" s="41" t="inlineStr">
        <is>
          <t>growth</t>
        </is>
      </c>
      <c r="E141" s="41" t="inlineStr">
        <is>
          <t>pct</t>
        </is>
      </c>
      <c r="F141" s="41" t="inlineStr">
        <is>
          <t>higher</t>
        </is>
      </c>
      <c r="G141" s="65" t="n">
        <v>0.618572927597062</v>
      </c>
    </row>
    <row r="142">
      <c r="A142" s="64" t="n">
        <v>45536</v>
      </c>
      <c r="B142" s="41" t="inlineStr">
        <is>
          <t>K07</t>
        </is>
      </c>
      <c r="C142" s="41" t="inlineStr">
        <is>
          <t>Monthly active customers</t>
        </is>
      </c>
      <c r="D142" s="41" t="inlineStr">
        <is>
          <t>engagement</t>
        </is>
      </c>
      <c r="E142" s="41" t="inlineStr">
        <is>
          <t>count</t>
        </is>
      </c>
      <c r="F142" s="41" t="inlineStr">
        <is>
          <t>higher</t>
        </is>
      </c>
      <c r="G142" s="7" t="n">
        <v>714</v>
      </c>
    </row>
    <row r="143">
      <c r="A143" s="64" t="n">
        <v>45566</v>
      </c>
      <c r="B143" s="41" t="inlineStr">
        <is>
          <t>K07</t>
        </is>
      </c>
      <c r="C143" s="41" t="inlineStr">
        <is>
          <t>Monthly active customers</t>
        </is>
      </c>
      <c r="D143" s="41" t="inlineStr">
        <is>
          <t>engagement</t>
        </is>
      </c>
      <c r="E143" s="41" t="inlineStr">
        <is>
          <t>count</t>
        </is>
      </c>
      <c r="F143" s="41" t="inlineStr">
        <is>
          <t>higher</t>
        </is>
      </c>
      <c r="G143" s="7" t="n">
        <v>1338</v>
      </c>
    </row>
    <row r="144">
      <c r="A144" s="64" t="n">
        <v>45597</v>
      </c>
      <c r="B144" s="41" t="inlineStr">
        <is>
          <t>K07</t>
        </is>
      </c>
      <c r="C144" s="41" t="inlineStr">
        <is>
          <t>Monthly active customers</t>
        </is>
      </c>
      <c r="D144" s="41" t="inlineStr">
        <is>
          <t>engagement</t>
        </is>
      </c>
      <c r="E144" s="41" t="inlineStr">
        <is>
          <t>count</t>
        </is>
      </c>
      <c r="F144" s="41" t="inlineStr">
        <is>
          <t>higher</t>
        </is>
      </c>
      <c r="G144" s="7" t="n">
        <v>1984</v>
      </c>
    </row>
    <row r="145">
      <c r="A145" s="64" t="n">
        <v>45627</v>
      </c>
      <c r="B145" s="41" t="inlineStr">
        <is>
          <t>K07</t>
        </is>
      </c>
      <c r="C145" s="41" t="inlineStr">
        <is>
          <t>Monthly active customers</t>
        </is>
      </c>
      <c r="D145" s="41" t="inlineStr">
        <is>
          <t>engagement</t>
        </is>
      </c>
      <c r="E145" s="41" t="inlineStr">
        <is>
          <t>count</t>
        </is>
      </c>
      <c r="F145" s="41" t="inlineStr">
        <is>
          <t>higher</t>
        </is>
      </c>
      <c r="G145" s="7" t="n">
        <v>2666</v>
      </c>
    </row>
    <row r="146">
      <c r="A146" s="64" t="n">
        <v>45658</v>
      </c>
      <c r="B146" s="41" t="inlineStr">
        <is>
          <t>K07</t>
        </is>
      </c>
      <c r="C146" s="41" t="inlineStr">
        <is>
          <t>Monthly active customers</t>
        </is>
      </c>
      <c r="D146" s="41" t="inlineStr">
        <is>
          <t>engagement</t>
        </is>
      </c>
      <c r="E146" s="41" t="inlineStr">
        <is>
          <t>count</t>
        </is>
      </c>
      <c r="F146" s="41" t="inlineStr">
        <is>
          <t>higher</t>
        </is>
      </c>
      <c r="G146" s="7" t="n">
        <v>3292</v>
      </c>
    </row>
    <row r="147">
      <c r="A147" s="64" t="n">
        <v>45689</v>
      </c>
      <c r="B147" s="41" t="inlineStr">
        <is>
          <t>K07</t>
        </is>
      </c>
      <c r="C147" s="41" t="inlineStr">
        <is>
          <t>Monthly active customers</t>
        </is>
      </c>
      <c r="D147" s="41" t="inlineStr">
        <is>
          <t>engagement</t>
        </is>
      </c>
      <c r="E147" s="41" t="inlineStr">
        <is>
          <t>count</t>
        </is>
      </c>
      <c r="F147" s="41" t="inlineStr">
        <is>
          <t>higher</t>
        </is>
      </c>
      <c r="G147" s="7" t="n">
        <v>3835</v>
      </c>
    </row>
    <row r="148">
      <c r="A148" s="64" t="n">
        <v>45717</v>
      </c>
      <c r="B148" s="41" t="inlineStr">
        <is>
          <t>K07</t>
        </is>
      </c>
      <c r="C148" s="41" t="inlineStr">
        <is>
          <t>Monthly active customers</t>
        </is>
      </c>
      <c r="D148" s="41" t="inlineStr">
        <is>
          <t>engagement</t>
        </is>
      </c>
      <c r="E148" s="41" t="inlineStr">
        <is>
          <t>count</t>
        </is>
      </c>
      <c r="F148" s="41" t="inlineStr">
        <is>
          <t>higher</t>
        </is>
      </c>
      <c r="G148" s="7" t="n">
        <v>4576</v>
      </c>
    </row>
    <row r="149">
      <c r="A149" s="64" t="n">
        <v>45748</v>
      </c>
      <c r="B149" s="41" t="inlineStr">
        <is>
          <t>K07</t>
        </is>
      </c>
      <c r="C149" s="41" t="inlineStr">
        <is>
          <t>Monthly active customers</t>
        </is>
      </c>
      <c r="D149" s="41" t="inlineStr">
        <is>
          <t>engagement</t>
        </is>
      </c>
      <c r="E149" s="41" t="inlineStr">
        <is>
          <t>count</t>
        </is>
      </c>
      <c r="F149" s="41" t="inlineStr">
        <is>
          <t>higher</t>
        </is>
      </c>
      <c r="G149" s="7" t="n">
        <v>5263</v>
      </c>
    </row>
    <row r="150">
      <c r="A150" s="64" t="n">
        <v>45778</v>
      </c>
      <c r="B150" s="41" t="inlineStr">
        <is>
          <t>K07</t>
        </is>
      </c>
      <c r="C150" s="41" t="inlineStr">
        <is>
          <t>Monthly active customers</t>
        </is>
      </c>
      <c r="D150" s="41" t="inlineStr">
        <is>
          <t>engagement</t>
        </is>
      </c>
      <c r="E150" s="41" t="inlineStr">
        <is>
          <t>count</t>
        </is>
      </c>
      <c r="F150" s="41" t="inlineStr">
        <is>
          <t>higher</t>
        </is>
      </c>
      <c r="G150" s="7" t="n">
        <v>5907</v>
      </c>
    </row>
    <row r="151">
      <c r="A151" s="64" t="n">
        <v>45809</v>
      </c>
      <c r="B151" s="41" t="inlineStr">
        <is>
          <t>K07</t>
        </is>
      </c>
      <c r="C151" s="41" t="inlineStr">
        <is>
          <t>Monthly active customers</t>
        </is>
      </c>
      <c r="D151" s="41" t="inlineStr">
        <is>
          <t>engagement</t>
        </is>
      </c>
      <c r="E151" s="41" t="inlineStr">
        <is>
          <t>count</t>
        </is>
      </c>
      <c r="F151" s="41" t="inlineStr">
        <is>
          <t>higher</t>
        </is>
      </c>
      <c r="G151" s="7" t="n">
        <v>6615</v>
      </c>
    </row>
    <row r="152">
      <c r="A152" s="64" t="n">
        <v>45839</v>
      </c>
      <c r="B152" s="41" t="inlineStr">
        <is>
          <t>K07</t>
        </is>
      </c>
      <c r="C152" s="41" t="inlineStr">
        <is>
          <t>Monthly active customers</t>
        </is>
      </c>
      <c r="D152" s="41" t="inlineStr">
        <is>
          <t>engagement</t>
        </is>
      </c>
      <c r="E152" s="41" t="inlineStr">
        <is>
          <t>count</t>
        </is>
      </c>
      <c r="F152" s="41" t="inlineStr">
        <is>
          <t>higher</t>
        </is>
      </c>
      <c r="G152" s="7" t="n">
        <v>7379</v>
      </c>
    </row>
    <row r="153">
      <c r="A153" s="64" t="n">
        <v>45870</v>
      </c>
      <c r="B153" s="41" t="inlineStr">
        <is>
          <t>K07</t>
        </is>
      </c>
      <c r="C153" s="41" t="inlineStr">
        <is>
          <t>Monthly active customers</t>
        </is>
      </c>
      <c r="D153" s="41" t="inlineStr">
        <is>
          <t>engagement</t>
        </is>
      </c>
      <c r="E153" s="41" t="inlineStr">
        <is>
          <t>count</t>
        </is>
      </c>
      <c r="F153" s="41" t="inlineStr">
        <is>
          <t>higher</t>
        </is>
      </c>
      <c r="G153" s="7" t="n">
        <v>8065</v>
      </c>
    </row>
    <row r="154">
      <c r="A154" s="64" t="n">
        <v>45901</v>
      </c>
      <c r="B154" s="41" t="inlineStr">
        <is>
          <t>K07</t>
        </is>
      </c>
      <c r="C154" s="41" t="inlineStr">
        <is>
          <t>Monthly active customers</t>
        </is>
      </c>
      <c r="D154" s="41" t="inlineStr">
        <is>
          <t>engagement</t>
        </is>
      </c>
      <c r="E154" s="41" t="inlineStr">
        <is>
          <t>count</t>
        </is>
      </c>
      <c r="F154" s="41" t="inlineStr">
        <is>
          <t>higher</t>
        </is>
      </c>
      <c r="G154" s="7" t="n">
        <v>8815</v>
      </c>
    </row>
    <row r="155">
      <c r="A155" s="64" t="n">
        <v>45931</v>
      </c>
      <c r="B155" s="41" t="inlineStr">
        <is>
          <t>K07</t>
        </is>
      </c>
      <c r="C155" s="41" t="inlineStr">
        <is>
          <t>Monthly active customers</t>
        </is>
      </c>
      <c r="D155" s="41" t="inlineStr">
        <is>
          <t>engagement</t>
        </is>
      </c>
      <c r="E155" s="41" t="inlineStr">
        <is>
          <t>count</t>
        </is>
      </c>
      <c r="F155" s="41" t="inlineStr">
        <is>
          <t>higher</t>
        </is>
      </c>
      <c r="G155" s="7" t="n">
        <v>9488</v>
      </c>
    </row>
    <row r="156">
      <c r="A156" s="64" t="n">
        <v>45962</v>
      </c>
      <c r="B156" s="41" t="inlineStr">
        <is>
          <t>K07</t>
        </is>
      </c>
      <c r="C156" s="41" t="inlineStr">
        <is>
          <t>Monthly active customers</t>
        </is>
      </c>
      <c r="D156" s="41" t="inlineStr">
        <is>
          <t>engagement</t>
        </is>
      </c>
      <c r="E156" s="41" t="inlineStr">
        <is>
          <t>count</t>
        </is>
      </c>
      <c r="F156" s="41" t="inlineStr">
        <is>
          <t>higher</t>
        </is>
      </c>
      <c r="G156" s="7" t="n">
        <v>10370</v>
      </c>
    </row>
    <row r="157">
      <c r="A157" s="64" t="n">
        <v>45992</v>
      </c>
      <c r="B157" s="41" t="inlineStr">
        <is>
          <t>K07</t>
        </is>
      </c>
      <c r="C157" s="41" t="inlineStr">
        <is>
          <t>Monthly active customers</t>
        </is>
      </c>
      <c r="D157" s="41" t="inlineStr">
        <is>
          <t>engagement</t>
        </is>
      </c>
      <c r="E157" s="41" t="inlineStr">
        <is>
          <t>count</t>
        </is>
      </c>
      <c r="F157" s="41" t="inlineStr">
        <is>
          <t>higher</t>
        </is>
      </c>
      <c r="G157" s="7" t="n">
        <v>11201</v>
      </c>
    </row>
    <row r="158">
      <c r="A158" s="64" t="n">
        <v>46023</v>
      </c>
      <c r="B158" s="41" t="inlineStr">
        <is>
          <t>K07</t>
        </is>
      </c>
      <c r="C158" s="41" t="inlineStr">
        <is>
          <t>Monthly active customers</t>
        </is>
      </c>
      <c r="D158" s="41" t="inlineStr">
        <is>
          <t>engagement</t>
        </is>
      </c>
      <c r="E158" s="41" t="inlineStr">
        <is>
          <t>count</t>
        </is>
      </c>
      <c r="F158" s="41" t="inlineStr">
        <is>
          <t>higher</t>
        </is>
      </c>
      <c r="G158" s="7" t="n">
        <v>12000</v>
      </c>
    </row>
    <row r="159">
      <c r="A159" s="64" t="n">
        <v>46054</v>
      </c>
      <c r="B159" s="41" t="inlineStr">
        <is>
          <t>K07</t>
        </is>
      </c>
      <c r="C159" s="41" t="inlineStr">
        <is>
          <t>Monthly active customers</t>
        </is>
      </c>
      <c r="D159" s="41" t="inlineStr">
        <is>
          <t>engagement</t>
        </is>
      </c>
      <c r="E159" s="41" t="inlineStr">
        <is>
          <t>count</t>
        </is>
      </c>
      <c r="F159" s="41" t="inlineStr">
        <is>
          <t>higher</t>
        </is>
      </c>
      <c r="G159" s="7" t="n">
        <v>12794</v>
      </c>
    </row>
    <row r="160">
      <c r="A160" s="64" t="n">
        <v>46082</v>
      </c>
      <c r="B160" s="41" t="inlineStr">
        <is>
          <t>K07</t>
        </is>
      </c>
      <c r="C160" s="41" t="inlineStr">
        <is>
          <t>Monthly active customers</t>
        </is>
      </c>
      <c r="D160" s="41" t="inlineStr">
        <is>
          <t>engagement</t>
        </is>
      </c>
      <c r="E160" s="41" t="inlineStr">
        <is>
          <t>count</t>
        </is>
      </c>
      <c r="F160" s="41" t="inlineStr">
        <is>
          <t>higher</t>
        </is>
      </c>
      <c r="G160" s="7" t="n">
        <v>13772</v>
      </c>
    </row>
    <row r="161">
      <c r="A161" s="64" t="n">
        <v>46113</v>
      </c>
      <c r="B161" s="41" t="inlineStr">
        <is>
          <t>K07</t>
        </is>
      </c>
      <c r="C161" s="41" t="inlineStr">
        <is>
          <t>Monthly active customers</t>
        </is>
      </c>
      <c r="D161" s="41" t="inlineStr">
        <is>
          <t>engagement</t>
        </is>
      </c>
      <c r="E161" s="41" t="inlineStr">
        <is>
          <t>count</t>
        </is>
      </c>
      <c r="F161" s="41" t="inlineStr">
        <is>
          <t>higher</t>
        </is>
      </c>
      <c r="G161" s="7" t="n">
        <v>14515</v>
      </c>
    </row>
    <row r="162">
      <c r="A162" s="64" t="n">
        <v>46143</v>
      </c>
      <c r="B162" s="41" t="inlineStr">
        <is>
          <t>K07</t>
        </is>
      </c>
      <c r="C162" s="41" t="inlineStr">
        <is>
          <t>Monthly active customers</t>
        </is>
      </c>
      <c r="D162" s="41" t="inlineStr">
        <is>
          <t>engagement</t>
        </is>
      </c>
      <c r="E162" s="41" t="inlineStr">
        <is>
          <t>count</t>
        </is>
      </c>
      <c r="F162" s="41" t="inlineStr">
        <is>
          <t>higher</t>
        </is>
      </c>
      <c r="G162" s="7" t="n">
        <v>15643</v>
      </c>
    </row>
    <row r="163">
      <c r="A163" s="64" t="n">
        <v>46174</v>
      </c>
      <c r="B163" s="41" t="inlineStr">
        <is>
          <t>K07</t>
        </is>
      </c>
      <c r="C163" s="41" t="inlineStr">
        <is>
          <t>Monthly active customers</t>
        </is>
      </c>
      <c r="D163" s="41" t="inlineStr">
        <is>
          <t>engagement</t>
        </is>
      </c>
      <c r="E163" s="41" t="inlineStr">
        <is>
          <t>count</t>
        </is>
      </c>
      <c r="F163" s="41" t="inlineStr">
        <is>
          <t>higher</t>
        </is>
      </c>
      <c r="G163" s="7" t="n">
        <v>16516</v>
      </c>
    </row>
    <row r="164">
      <c r="A164" s="64" t="n">
        <v>46204</v>
      </c>
      <c r="B164" s="41" t="inlineStr">
        <is>
          <t>K07</t>
        </is>
      </c>
      <c r="C164" s="41" t="inlineStr">
        <is>
          <t>Monthly active customers</t>
        </is>
      </c>
      <c r="D164" s="41" t="inlineStr">
        <is>
          <t>engagement</t>
        </is>
      </c>
      <c r="E164" s="41" t="inlineStr">
        <is>
          <t>count</t>
        </is>
      </c>
      <c r="F164" s="41" t="inlineStr">
        <is>
          <t>higher</t>
        </is>
      </c>
      <c r="G164" s="7" t="n">
        <v>17527</v>
      </c>
    </row>
    <row r="165">
      <c r="A165" s="64" t="n">
        <v>46235</v>
      </c>
      <c r="B165" s="41" t="inlineStr">
        <is>
          <t>K07</t>
        </is>
      </c>
      <c r="C165" s="41" t="inlineStr">
        <is>
          <t>Monthly active customers</t>
        </is>
      </c>
      <c r="D165" s="41" t="inlineStr">
        <is>
          <t>engagement</t>
        </is>
      </c>
      <c r="E165" s="41" t="inlineStr">
        <is>
          <t>count</t>
        </is>
      </c>
      <c r="F165" s="41" t="inlineStr">
        <is>
          <t>higher</t>
        </is>
      </c>
      <c r="G165" s="7" t="n">
        <v>18522</v>
      </c>
    </row>
    <row r="166">
      <c r="A166" s="64" t="n">
        <v>45536</v>
      </c>
      <c r="B166" s="41" t="inlineStr">
        <is>
          <t>K08</t>
        </is>
      </c>
      <c r="C166" s="41" t="inlineStr">
        <is>
          <t>Active customer rate</t>
        </is>
      </c>
      <c r="D166" s="41" t="inlineStr">
        <is>
          <t>engagement</t>
        </is>
      </c>
      <c r="E166" s="41" t="inlineStr">
        <is>
          <t>pct</t>
        </is>
      </c>
      <c r="F166" s="41" t="inlineStr">
        <is>
          <t>higher</t>
        </is>
      </c>
      <c r="G166" s="65" t="n">
        <v>0.9201030927835051</v>
      </c>
    </row>
    <row r="167">
      <c r="A167" s="64" t="n">
        <v>45566</v>
      </c>
      <c r="B167" s="41" t="inlineStr">
        <is>
          <t>K08</t>
        </is>
      </c>
      <c r="C167" s="41" t="inlineStr">
        <is>
          <t>Active customer rate</t>
        </is>
      </c>
      <c r="D167" s="41" t="inlineStr">
        <is>
          <t>engagement</t>
        </is>
      </c>
      <c r="E167" s="41" t="inlineStr">
        <is>
          <t>pct</t>
        </is>
      </c>
      <c r="F167" s="41" t="inlineStr">
        <is>
          <t>higher</t>
        </is>
      </c>
      <c r="G167" s="65" t="n">
        <v>0.8436317780580076</v>
      </c>
    </row>
    <row r="168">
      <c r="A168" s="64" t="n">
        <v>45597</v>
      </c>
      <c r="B168" s="41" t="inlineStr">
        <is>
          <t>K08</t>
        </is>
      </c>
      <c r="C168" s="41" t="inlineStr">
        <is>
          <t>Active customer rate</t>
        </is>
      </c>
      <c r="D168" s="41" t="inlineStr">
        <is>
          <t>engagement</t>
        </is>
      </c>
      <c r="E168" s="41" t="inlineStr">
        <is>
          <t>pct</t>
        </is>
      </c>
      <c r="F168" s="41" t="inlineStr">
        <is>
          <t>higher</t>
        </is>
      </c>
      <c r="G168" s="65" t="n">
        <v>0.7801808887141172</v>
      </c>
    </row>
    <row r="169">
      <c r="A169" s="64" t="n">
        <v>45627</v>
      </c>
      <c r="B169" s="41" t="inlineStr">
        <is>
          <t>K08</t>
        </is>
      </c>
      <c r="C169" s="41" t="inlineStr">
        <is>
          <t>Active customer rate</t>
        </is>
      </c>
      <c r="D169" s="41" t="inlineStr">
        <is>
          <t>engagement</t>
        </is>
      </c>
      <c r="E169" s="41" t="inlineStr">
        <is>
          <t>pct</t>
        </is>
      </c>
      <c r="F169" s="41" t="inlineStr">
        <is>
          <t>higher</t>
        </is>
      </c>
      <c r="G169" s="65" t="n">
        <v>0.7541725601131541</v>
      </c>
    </row>
    <row r="170">
      <c r="A170" s="64" t="n">
        <v>45658</v>
      </c>
      <c r="B170" s="41" t="inlineStr">
        <is>
          <t>K08</t>
        </is>
      </c>
      <c r="C170" s="41" t="inlineStr">
        <is>
          <t>Active customer rate</t>
        </is>
      </c>
      <c r="D170" s="41" t="inlineStr">
        <is>
          <t>engagement</t>
        </is>
      </c>
      <c r="E170" s="41" t="inlineStr">
        <is>
          <t>pct</t>
        </is>
      </c>
      <c r="F170" s="41" t="inlineStr">
        <is>
          <t>higher</t>
        </is>
      </c>
      <c r="G170" s="65" t="n">
        <v>0.7416084703762108</v>
      </c>
    </row>
    <row r="171">
      <c r="A171" s="64" t="n">
        <v>45689</v>
      </c>
      <c r="B171" s="41" t="inlineStr">
        <is>
          <t>K08</t>
        </is>
      </c>
      <c r="C171" s="41" t="inlineStr">
        <is>
          <t>Active customer rate</t>
        </is>
      </c>
      <c r="D171" s="41" t="inlineStr">
        <is>
          <t>engagement</t>
        </is>
      </c>
      <c r="E171" s="41" t="inlineStr">
        <is>
          <t>pct</t>
        </is>
      </c>
      <c r="F171" s="41" t="inlineStr">
        <is>
          <t>higher</t>
        </is>
      </c>
      <c r="G171" s="65" t="n">
        <v>0.7126928080282475</v>
      </c>
    </row>
    <row r="172">
      <c r="A172" s="64" t="n">
        <v>45717</v>
      </c>
      <c r="B172" s="41" t="inlineStr">
        <is>
          <t>K08</t>
        </is>
      </c>
      <c r="C172" s="41" t="inlineStr">
        <is>
          <t>Active customer rate</t>
        </is>
      </c>
      <c r="D172" s="41" t="inlineStr">
        <is>
          <t>engagement</t>
        </is>
      </c>
      <c r="E172" s="41" t="inlineStr">
        <is>
          <t>pct</t>
        </is>
      </c>
      <c r="F172" s="41" t="inlineStr">
        <is>
          <t>higher</t>
        </is>
      </c>
      <c r="G172" s="65" t="n">
        <v>0.7035670356703567</v>
      </c>
    </row>
    <row r="173">
      <c r="A173" s="64" t="n">
        <v>45748</v>
      </c>
      <c r="B173" s="41" t="inlineStr">
        <is>
          <t>K08</t>
        </is>
      </c>
      <c r="C173" s="41" t="inlineStr">
        <is>
          <t>Active customer rate</t>
        </is>
      </c>
      <c r="D173" s="41" t="inlineStr">
        <is>
          <t>engagement</t>
        </is>
      </c>
      <c r="E173" s="41" t="inlineStr">
        <is>
          <t>pct</t>
        </is>
      </c>
      <c r="F173" s="41" t="inlineStr">
        <is>
          <t>higher</t>
        </is>
      </c>
      <c r="G173" s="65" t="n">
        <v>0.6947854785478548</v>
      </c>
    </row>
    <row r="174">
      <c r="A174" s="64" t="n">
        <v>45778</v>
      </c>
      <c r="B174" s="41" t="inlineStr">
        <is>
          <t>K08</t>
        </is>
      </c>
      <c r="C174" s="41" t="inlineStr">
        <is>
          <t>Active customer rate</t>
        </is>
      </c>
      <c r="D174" s="41" t="inlineStr">
        <is>
          <t>engagement</t>
        </is>
      </c>
      <c r="E174" s="41" t="inlineStr">
        <is>
          <t>pct</t>
        </is>
      </c>
      <c r="F174" s="41" t="inlineStr">
        <is>
          <t>higher</t>
        </is>
      </c>
      <c r="G174" s="65" t="n">
        <v>0.6802948289761603</v>
      </c>
    </row>
    <row r="175">
      <c r="A175" s="64" t="n">
        <v>45809</v>
      </c>
      <c r="B175" s="41" t="inlineStr">
        <is>
          <t>K08</t>
        </is>
      </c>
      <c r="C175" s="41" t="inlineStr">
        <is>
          <t>Active customer rate</t>
        </is>
      </c>
      <c r="D175" s="41" t="inlineStr">
        <is>
          <t>engagement</t>
        </is>
      </c>
      <c r="E175" s="41" t="inlineStr">
        <is>
          <t>pct</t>
        </is>
      </c>
      <c r="F175" s="41" t="inlineStr">
        <is>
          <t>higher</t>
        </is>
      </c>
      <c r="G175" s="65" t="n">
        <v>0.6759656652360515</v>
      </c>
    </row>
    <row r="176">
      <c r="A176" s="64" t="n">
        <v>45839</v>
      </c>
      <c r="B176" s="41" t="inlineStr">
        <is>
          <t>K08</t>
        </is>
      </c>
      <c r="C176" s="41" t="inlineStr">
        <is>
          <t>Active customer rate</t>
        </is>
      </c>
      <c r="D176" s="41" t="inlineStr">
        <is>
          <t>engagement</t>
        </is>
      </c>
      <c r="E176" s="41" t="inlineStr">
        <is>
          <t>pct</t>
        </is>
      </c>
      <c r="F176" s="41" t="inlineStr">
        <is>
          <t>higher</t>
        </is>
      </c>
      <c r="G176" s="65" t="n">
        <v>0.6733278583812392</v>
      </c>
    </row>
    <row r="177">
      <c r="A177" s="64" t="n">
        <v>45870</v>
      </c>
      <c r="B177" s="41" t="inlineStr">
        <is>
          <t>K08</t>
        </is>
      </c>
      <c r="C177" s="41" t="inlineStr">
        <is>
          <t>Active customer rate</t>
        </is>
      </c>
      <c r="D177" s="41" t="inlineStr">
        <is>
          <t>engagement</t>
        </is>
      </c>
      <c r="E177" s="41" t="inlineStr">
        <is>
          <t>pct</t>
        </is>
      </c>
      <c r="F177" s="41" t="inlineStr">
        <is>
          <t>higher</t>
        </is>
      </c>
      <c r="G177" s="65" t="n">
        <v>0.6630220322262413</v>
      </c>
    </row>
    <row r="178">
      <c r="A178" s="64" t="n">
        <v>45901</v>
      </c>
      <c r="B178" s="41" t="inlineStr">
        <is>
          <t>K08</t>
        </is>
      </c>
      <c r="C178" s="41" t="inlineStr">
        <is>
          <t>Active customer rate</t>
        </is>
      </c>
      <c r="D178" s="41" t="inlineStr">
        <is>
          <t>engagement</t>
        </is>
      </c>
      <c r="E178" s="41" t="inlineStr">
        <is>
          <t>pct</t>
        </is>
      </c>
      <c r="F178" s="41" t="inlineStr">
        <is>
          <t>higher</t>
        </is>
      </c>
      <c r="G178" s="65" t="n">
        <v>0.6591147001644982</v>
      </c>
    </row>
    <row r="179">
      <c r="A179" s="64" t="n">
        <v>45931</v>
      </c>
      <c r="B179" s="41" t="inlineStr">
        <is>
          <t>K08</t>
        </is>
      </c>
      <c r="C179" s="41" t="inlineStr">
        <is>
          <t>Active customer rate</t>
        </is>
      </c>
      <c r="D179" s="41" t="inlineStr">
        <is>
          <t>engagement</t>
        </is>
      </c>
      <c r="E179" s="41" t="inlineStr">
        <is>
          <t>pct</t>
        </is>
      </c>
      <c r="F179" s="41" t="inlineStr">
        <is>
          <t>higher</t>
        </is>
      </c>
      <c r="G179" s="65" t="n">
        <v>0.6470267321331151</v>
      </c>
    </row>
    <row r="180">
      <c r="A180" s="64" t="n">
        <v>45962</v>
      </c>
      <c r="B180" s="41" t="inlineStr">
        <is>
          <t>K08</t>
        </is>
      </c>
      <c r="C180" s="41" t="inlineStr">
        <is>
          <t>Active customer rate</t>
        </is>
      </c>
      <c r="D180" s="41" t="inlineStr">
        <is>
          <t>engagement</t>
        </is>
      </c>
      <c r="E180" s="41" t="inlineStr">
        <is>
          <t>pct</t>
        </is>
      </c>
      <c r="F180" s="41" t="inlineStr">
        <is>
          <t>higher</t>
        </is>
      </c>
      <c r="G180" s="65" t="n">
        <v>0.6466296688906903</v>
      </c>
    </row>
    <row r="181">
      <c r="A181" s="64" t="n">
        <v>45992</v>
      </c>
      <c r="B181" s="41" t="inlineStr">
        <is>
          <t>K08</t>
        </is>
      </c>
      <c r="C181" s="41" t="inlineStr">
        <is>
          <t>Active customer rate</t>
        </is>
      </c>
      <c r="D181" s="41" t="inlineStr">
        <is>
          <t>engagement</t>
        </is>
      </c>
      <c r="E181" s="41" t="inlineStr">
        <is>
          <t>pct</t>
        </is>
      </c>
      <c r="F181" s="41" t="inlineStr">
        <is>
          <t>higher</t>
        </is>
      </c>
      <c r="G181" s="65" t="n">
        <v>0.6391805523853001</v>
      </c>
    </row>
    <row r="182">
      <c r="A182" s="64" t="n">
        <v>46023</v>
      </c>
      <c r="B182" s="41" t="inlineStr">
        <is>
          <t>K08</t>
        </is>
      </c>
      <c r="C182" s="41" t="inlineStr">
        <is>
          <t>Active customer rate</t>
        </is>
      </c>
      <c r="D182" s="41" t="inlineStr">
        <is>
          <t>engagement</t>
        </is>
      </c>
      <c r="E182" s="41" t="inlineStr">
        <is>
          <t>pct</t>
        </is>
      </c>
      <c r="F182" s="41" t="inlineStr">
        <is>
          <t>higher</t>
        </is>
      </c>
      <c r="G182" s="65" t="n">
        <v>0.6320446644896239</v>
      </c>
    </row>
    <row r="183">
      <c r="A183" s="64" t="n">
        <v>46054</v>
      </c>
      <c r="B183" s="41" t="inlineStr">
        <is>
          <t>K08</t>
        </is>
      </c>
      <c r="C183" s="41" t="inlineStr">
        <is>
          <t>Active customer rate</t>
        </is>
      </c>
      <c r="D183" s="41" t="inlineStr">
        <is>
          <t>engagement</t>
        </is>
      </c>
      <c r="E183" s="41" t="inlineStr">
        <is>
          <t>pct</t>
        </is>
      </c>
      <c r="F183" s="41" t="inlineStr">
        <is>
          <t>higher</t>
        </is>
      </c>
      <c r="G183" s="65" t="n">
        <v>0.6259908014482826</v>
      </c>
    </row>
    <row r="184">
      <c r="A184" s="64" t="n">
        <v>46082</v>
      </c>
      <c r="B184" s="41" t="inlineStr">
        <is>
          <t>K08</t>
        </is>
      </c>
      <c r="C184" s="41" t="inlineStr">
        <is>
          <t>Active customer rate</t>
        </is>
      </c>
      <c r="D184" s="41" t="inlineStr">
        <is>
          <t>engagement</t>
        </is>
      </c>
      <c r="E184" s="41" t="inlineStr">
        <is>
          <t>pct</t>
        </is>
      </c>
      <c r="F184" s="41" t="inlineStr">
        <is>
          <t>higher</t>
        </is>
      </c>
      <c r="G184" s="65" t="n">
        <v>0.6244389027431422</v>
      </c>
    </row>
    <row r="185">
      <c r="A185" s="64" t="n">
        <v>46113</v>
      </c>
      <c r="B185" s="41" t="inlineStr">
        <is>
          <t>K08</t>
        </is>
      </c>
      <c r="C185" s="41" t="inlineStr">
        <is>
          <t>Active customer rate</t>
        </is>
      </c>
      <c r="D185" s="41" t="inlineStr">
        <is>
          <t>engagement</t>
        </is>
      </c>
      <c r="E185" s="41" t="inlineStr">
        <is>
          <t>pct</t>
        </is>
      </c>
      <c r="F185" s="41" t="inlineStr">
        <is>
          <t>higher</t>
        </is>
      </c>
      <c r="G185" s="65" t="n">
        <v>0.6164005435705793</v>
      </c>
    </row>
    <row r="186">
      <c r="A186" s="64" t="n">
        <v>46143</v>
      </c>
      <c r="B186" s="41" t="inlineStr">
        <is>
          <t>K08</t>
        </is>
      </c>
      <c r="C186" s="41" t="inlineStr">
        <is>
          <t>Active customer rate</t>
        </is>
      </c>
      <c r="D186" s="41" t="inlineStr">
        <is>
          <t>engagement</t>
        </is>
      </c>
      <c r="E186" s="41" t="inlineStr">
        <is>
          <t>pct</t>
        </is>
      </c>
      <c r="F186" s="41" t="inlineStr">
        <is>
          <t>higher</t>
        </is>
      </c>
      <c r="G186" s="65" t="n">
        <v>0.6174705928791347</v>
      </c>
    </row>
    <row r="187">
      <c r="A187" s="64" t="n">
        <v>46174</v>
      </c>
      <c r="B187" s="41" t="inlineStr">
        <is>
          <t>K08</t>
        </is>
      </c>
      <c r="C187" s="41" t="inlineStr">
        <is>
          <t>Active customer rate</t>
        </is>
      </c>
      <c r="D187" s="41" t="inlineStr">
        <is>
          <t>engagement</t>
        </is>
      </c>
      <c r="E187" s="41" t="inlineStr">
        <is>
          <t>pct</t>
        </is>
      </c>
      <c r="F187" s="41" t="inlineStr">
        <is>
          <t>higher</t>
        </is>
      </c>
      <c r="G187" s="65" t="n">
        <v>0.6098290440497729</v>
      </c>
    </row>
    <row r="188">
      <c r="A188" s="64" t="n">
        <v>46204</v>
      </c>
      <c r="B188" s="41" t="inlineStr">
        <is>
          <t>K08</t>
        </is>
      </c>
      <c r="C188" s="41" t="inlineStr">
        <is>
          <t>Active customer rate</t>
        </is>
      </c>
      <c r="D188" s="41" t="inlineStr">
        <is>
          <t>engagement</t>
        </is>
      </c>
      <c r="E188" s="41" t="inlineStr">
        <is>
          <t>pct</t>
        </is>
      </c>
      <c r="F188" s="41" t="inlineStr">
        <is>
          <t>higher</t>
        </is>
      </c>
      <c r="G188" s="65" t="n">
        <v>0.6060302202551779</v>
      </c>
    </row>
    <row r="189">
      <c r="A189" s="64" t="n">
        <v>46235</v>
      </c>
      <c r="B189" s="41" t="inlineStr">
        <is>
          <t>K08</t>
        </is>
      </c>
      <c r="C189" s="41" t="inlineStr">
        <is>
          <t>Active customer rate</t>
        </is>
      </c>
      <c r="D189" s="41" t="inlineStr">
        <is>
          <t>engagement</t>
        </is>
      </c>
      <c r="E189" s="41" t="inlineStr">
        <is>
          <t>pct</t>
        </is>
      </c>
      <c r="F189" s="41" t="inlineStr">
        <is>
          <t>higher</t>
        </is>
      </c>
      <c r="G189" s="65" t="n">
        <v>0.602321875711359</v>
      </c>
    </row>
    <row r="190">
      <c r="A190" s="64" t="n">
        <v>45536</v>
      </c>
      <c r="B190" s="41" t="inlineStr">
        <is>
          <t>K09</t>
        </is>
      </c>
      <c r="C190" s="41" t="inlineStr">
        <is>
          <t>Transactions per active customer</t>
        </is>
      </c>
      <c r="D190" s="41" t="inlineStr">
        <is>
          <t>engagement</t>
        </is>
      </c>
      <c r="E190" s="41" t="inlineStr">
        <is>
          <t>number</t>
        </is>
      </c>
      <c r="F190" s="41" t="inlineStr">
        <is>
          <t>higher</t>
        </is>
      </c>
      <c r="G190" s="67" t="n">
        <v>7.057422969187675</v>
      </c>
    </row>
    <row r="191">
      <c r="A191" s="64" t="n">
        <v>45566</v>
      </c>
      <c r="B191" s="41" t="inlineStr">
        <is>
          <t>K09</t>
        </is>
      </c>
      <c r="C191" s="41" t="inlineStr">
        <is>
          <t>Transactions per active customer</t>
        </is>
      </c>
      <c r="D191" s="41" t="inlineStr">
        <is>
          <t>engagement</t>
        </is>
      </c>
      <c r="E191" s="41" t="inlineStr">
        <is>
          <t>number</t>
        </is>
      </c>
      <c r="F191" s="41" t="inlineStr">
        <is>
          <t>higher</t>
        </is>
      </c>
      <c r="G191" s="67" t="n">
        <v>8.109865470852018</v>
      </c>
    </row>
    <row r="192">
      <c r="A192" s="64" t="n">
        <v>45597</v>
      </c>
      <c r="B192" s="41" t="inlineStr">
        <is>
          <t>K09</t>
        </is>
      </c>
      <c r="C192" s="41" t="inlineStr">
        <is>
          <t>Transactions per active customer</t>
        </is>
      </c>
      <c r="D192" s="41" t="inlineStr">
        <is>
          <t>engagement</t>
        </is>
      </c>
      <c r="E192" s="41" t="inlineStr">
        <is>
          <t>number</t>
        </is>
      </c>
      <c r="F192" s="41" t="inlineStr">
        <is>
          <t>higher</t>
        </is>
      </c>
      <c r="G192" s="67" t="n">
        <v>8.646673387096774</v>
      </c>
    </row>
    <row r="193">
      <c r="A193" s="64" t="n">
        <v>45627</v>
      </c>
      <c r="B193" s="41" t="inlineStr">
        <is>
          <t>K09</t>
        </is>
      </c>
      <c r="C193" s="41" t="inlineStr">
        <is>
          <t>Transactions per active customer</t>
        </is>
      </c>
      <c r="D193" s="41" t="inlineStr">
        <is>
          <t>engagement</t>
        </is>
      </c>
      <c r="E193" s="41" t="inlineStr">
        <is>
          <t>number</t>
        </is>
      </c>
      <c r="F193" s="41" t="inlineStr">
        <is>
          <t>higher</t>
        </is>
      </c>
      <c r="G193" s="67" t="n">
        <v>8.883345836459116</v>
      </c>
    </row>
    <row r="194">
      <c r="A194" s="64" t="n">
        <v>45658</v>
      </c>
      <c r="B194" s="41" t="inlineStr">
        <is>
          <t>K09</t>
        </is>
      </c>
      <c r="C194" s="41" t="inlineStr">
        <is>
          <t>Transactions per active customer</t>
        </is>
      </c>
      <c r="D194" s="41" t="inlineStr">
        <is>
          <t>engagement</t>
        </is>
      </c>
      <c r="E194" s="41" t="inlineStr">
        <is>
          <t>number</t>
        </is>
      </c>
      <c r="F194" s="41" t="inlineStr">
        <is>
          <t>higher</t>
        </is>
      </c>
      <c r="G194" s="67" t="n">
        <v>9.100850546780073</v>
      </c>
    </row>
    <row r="195">
      <c r="A195" s="64" t="n">
        <v>45689</v>
      </c>
      <c r="B195" s="41" t="inlineStr">
        <is>
          <t>K09</t>
        </is>
      </c>
      <c r="C195" s="41" t="inlineStr">
        <is>
          <t>Transactions per active customer</t>
        </is>
      </c>
      <c r="D195" s="41" t="inlineStr">
        <is>
          <t>engagement</t>
        </is>
      </c>
      <c r="E195" s="41" t="inlineStr">
        <is>
          <t>number</t>
        </is>
      </c>
      <c r="F195" s="41" t="inlineStr">
        <is>
          <t>higher</t>
        </is>
      </c>
      <c r="G195" s="67" t="n">
        <v>9.38122555410691</v>
      </c>
    </row>
    <row r="196">
      <c r="A196" s="64" t="n">
        <v>45717</v>
      </c>
      <c r="B196" s="41" t="inlineStr">
        <is>
          <t>K09</t>
        </is>
      </c>
      <c r="C196" s="41" t="inlineStr">
        <is>
          <t>Transactions per active customer</t>
        </is>
      </c>
      <c r="D196" s="41" t="inlineStr">
        <is>
          <t>engagement</t>
        </is>
      </c>
      <c r="E196" s="41" t="inlineStr">
        <is>
          <t>number</t>
        </is>
      </c>
      <c r="F196" s="41" t="inlineStr">
        <is>
          <t>higher</t>
        </is>
      </c>
      <c r="G196" s="67" t="n">
        <v>9.720498251748252</v>
      </c>
    </row>
    <row r="197">
      <c r="A197" s="64" t="n">
        <v>45748</v>
      </c>
      <c r="B197" s="41" t="inlineStr">
        <is>
          <t>K09</t>
        </is>
      </c>
      <c r="C197" s="41" t="inlineStr">
        <is>
          <t>Transactions per active customer</t>
        </is>
      </c>
      <c r="D197" s="41" t="inlineStr">
        <is>
          <t>engagement</t>
        </is>
      </c>
      <c r="E197" s="41" t="inlineStr">
        <is>
          <t>number</t>
        </is>
      </c>
      <c r="F197" s="41" t="inlineStr">
        <is>
          <t>higher</t>
        </is>
      </c>
      <c r="G197" s="67" t="n">
        <v>9.692950788523655</v>
      </c>
    </row>
    <row r="198">
      <c r="A198" s="64" t="n">
        <v>45778</v>
      </c>
      <c r="B198" s="41" t="inlineStr">
        <is>
          <t>K09</t>
        </is>
      </c>
      <c r="C198" s="41" t="inlineStr">
        <is>
          <t>Transactions per active customer</t>
        </is>
      </c>
      <c r="D198" s="41" t="inlineStr">
        <is>
          <t>engagement</t>
        </is>
      </c>
      <c r="E198" s="41" t="inlineStr">
        <is>
          <t>number</t>
        </is>
      </c>
      <c r="F198" s="41" t="inlineStr">
        <is>
          <t>higher</t>
        </is>
      </c>
      <c r="G198" s="67" t="n">
        <v>9.85237853394278</v>
      </c>
    </row>
    <row r="199">
      <c r="A199" s="64" t="n">
        <v>45809</v>
      </c>
      <c r="B199" s="41" t="inlineStr">
        <is>
          <t>K09</t>
        </is>
      </c>
      <c r="C199" s="41" t="inlineStr">
        <is>
          <t>Transactions per active customer</t>
        </is>
      </c>
      <c r="D199" s="41" t="inlineStr">
        <is>
          <t>engagement</t>
        </is>
      </c>
      <c r="E199" s="41" t="inlineStr">
        <is>
          <t>number</t>
        </is>
      </c>
      <c r="F199" s="41" t="inlineStr">
        <is>
          <t>higher</t>
        </is>
      </c>
      <c r="G199" s="67" t="n">
        <v>9.905668934240364</v>
      </c>
    </row>
    <row r="200">
      <c r="A200" s="64" t="n">
        <v>45839</v>
      </c>
      <c r="B200" s="41" t="inlineStr">
        <is>
          <t>K09</t>
        </is>
      </c>
      <c r="C200" s="41" t="inlineStr">
        <is>
          <t>Transactions per active customer</t>
        </is>
      </c>
      <c r="D200" s="41" t="inlineStr">
        <is>
          <t>engagement</t>
        </is>
      </c>
      <c r="E200" s="41" t="inlineStr">
        <is>
          <t>number</t>
        </is>
      </c>
      <c r="F200" s="41" t="inlineStr">
        <is>
          <t>higher</t>
        </is>
      </c>
      <c r="G200" s="67" t="n">
        <v>9.984008673261959</v>
      </c>
    </row>
    <row r="201">
      <c r="A201" s="64" t="n">
        <v>45870</v>
      </c>
      <c r="B201" s="41" t="inlineStr">
        <is>
          <t>K09</t>
        </is>
      </c>
      <c r="C201" s="41" t="inlineStr">
        <is>
          <t>Transactions per active customer</t>
        </is>
      </c>
      <c r="D201" s="41" t="inlineStr">
        <is>
          <t>engagement</t>
        </is>
      </c>
      <c r="E201" s="41" t="inlineStr">
        <is>
          <t>number</t>
        </is>
      </c>
      <c r="F201" s="41" t="inlineStr">
        <is>
          <t>higher</t>
        </is>
      </c>
      <c r="G201" s="67" t="n">
        <v>9.989460632362059</v>
      </c>
    </row>
    <row r="202">
      <c r="A202" s="64" t="n">
        <v>45901</v>
      </c>
      <c r="B202" s="41" t="inlineStr">
        <is>
          <t>K09</t>
        </is>
      </c>
      <c r="C202" s="41" t="inlineStr">
        <is>
          <t>Transactions per active customer</t>
        </is>
      </c>
      <c r="D202" s="41" t="inlineStr">
        <is>
          <t>engagement</t>
        </is>
      </c>
      <c r="E202" s="41" t="inlineStr">
        <is>
          <t>number</t>
        </is>
      </c>
      <c r="F202" s="41" t="inlineStr">
        <is>
          <t>higher</t>
        </is>
      </c>
      <c r="G202" s="67" t="n">
        <v>9.97266023823029</v>
      </c>
    </row>
    <row r="203">
      <c r="A203" s="64" t="n">
        <v>45931</v>
      </c>
      <c r="B203" s="41" t="inlineStr">
        <is>
          <t>K09</t>
        </is>
      </c>
      <c r="C203" s="41" t="inlineStr">
        <is>
          <t>Transactions per active customer</t>
        </is>
      </c>
      <c r="D203" s="41" t="inlineStr">
        <is>
          <t>engagement</t>
        </is>
      </c>
      <c r="E203" s="41" t="inlineStr">
        <is>
          <t>number</t>
        </is>
      </c>
      <c r="F203" s="41" t="inlineStr">
        <is>
          <t>higher</t>
        </is>
      </c>
      <c r="G203" s="67" t="n">
        <v>9.999262225969646</v>
      </c>
    </row>
    <row r="204">
      <c r="A204" s="64" t="n">
        <v>45962</v>
      </c>
      <c r="B204" s="41" t="inlineStr">
        <is>
          <t>K09</t>
        </is>
      </c>
      <c r="C204" s="41" t="inlineStr">
        <is>
          <t>Transactions per active customer</t>
        </is>
      </c>
      <c r="D204" s="41" t="inlineStr">
        <is>
          <t>engagement</t>
        </is>
      </c>
      <c r="E204" s="41" t="inlineStr">
        <is>
          <t>number</t>
        </is>
      </c>
      <c r="F204" s="41" t="inlineStr">
        <is>
          <t>higher</t>
        </is>
      </c>
      <c r="G204" s="67" t="n">
        <v>10.0632594021215</v>
      </c>
    </row>
    <row r="205">
      <c r="A205" s="64" t="n">
        <v>45992</v>
      </c>
      <c r="B205" s="41" t="inlineStr">
        <is>
          <t>K09</t>
        </is>
      </c>
      <c r="C205" s="41" t="inlineStr">
        <is>
          <t>Transactions per active customer</t>
        </is>
      </c>
      <c r="D205" s="41" t="inlineStr">
        <is>
          <t>engagement</t>
        </is>
      </c>
      <c r="E205" s="41" t="inlineStr">
        <is>
          <t>number</t>
        </is>
      </c>
      <c r="F205" s="41" t="inlineStr">
        <is>
          <t>higher</t>
        </is>
      </c>
      <c r="G205" s="67" t="n">
        <v>10.02205160253549</v>
      </c>
    </row>
    <row r="206">
      <c r="A206" s="64" t="n">
        <v>46023</v>
      </c>
      <c r="B206" s="41" t="inlineStr">
        <is>
          <t>K09</t>
        </is>
      </c>
      <c r="C206" s="41" t="inlineStr">
        <is>
          <t>Transactions per active customer</t>
        </is>
      </c>
      <c r="D206" s="41" t="inlineStr">
        <is>
          <t>engagement</t>
        </is>
      </c>
      <c r="E206" s="41" t="inlineStr">
        <is>
          <t>number</t>
        </is>
      </c>
      <c r="F206" s="41" t="inlineStr">
        <is>
          <t>higher</t>
        </is>
      </c>
      <c r="G206" s="67" t="n">
        <v>10.071</v>
      </c>
    </row>
    <row r="207">
      <c r="A207" s="64" t="n">
        <v>46054</v>
      </c>
      <c r="B207" s="41" t="inlineStr">
        <is>
          <t>K09</t>
        </is>
      </c>
      <c r="C207" s="41" t="inlineStr">
        <is>
          <t>Transactions per active customer</t>
        </is>
      </c>
      <c r="D207" s="41" t="inlineStr">
        <is>
          <t>engagement</t>
        </is>
      </c>
      <c r="E207" s="41" t="inlineStr">
        <is>
          <t>number</t>
        </is>
      </c>
      <c r="F207" s="41" t="inlineStr">
        <is>
          <t>higher</t>
        </is>
      </c>
      <c r="G207" s="67" t="n">
        <v>10.13068625918399</v>
      </c>
    </row>
    <row r="208">
      <c r="A208" s="64" t="n">
        <v>46082</v>
      </c>
      <c r="B208" s="41" t="inlineStr">
        <is>
          <t>K09</t>
        </is>
      </c>
      <c r="C208" s="41" t="inlineStr">
        <is>
          <t>Transactions per active customer</t>
        </is>
      </c>
      <c r="D208" s="41" t="inlineStr">
        <is>
          <t>engagement</t>
        </is>
      </c>
      <c r="E208" s="41" t="inlineStr">
        <is>
          <t>number</t>
        </is>
      </c>
      <c r="F208" s="41" t="inlineStr">
        <is>
          <t>higher</t>
        </is>
      </c>
      <c r="G208" s="67" t="n">
        <v>10.12721463839675</v>
      </c>
    </row>
    <row r="209">
      <c r="A209" s="64" t="n">
        <v>46113</v>
      </c>
      <c r="B209" s="41" t="inlineStr">
        <is>
          <t>K09</t>
        </is>
      </c>
      <c r="C209" s="41" t="inlineStr">
        <is>
          <t>Transactions per active customer</t>
        </is>
      </c>
      <c r="D209" s="41" t="inlineStr">
        <is>
          <t>engagement</t>
        </is>
      </c>
      <c r="E209" s="41" t="inlineStr">
        <is>
          <t>number</t>
        </is>
      </c>
      <c r="F209" s="41" t="inlineStr">
        <is>
          <t>higher</t>
        </is>
      </c>
      <c r="G209" s="67" t="n">
        <v>10.24354116431278</v>
      </c>
    </row>
    <row r="210">
      <c r="A210" s="64" t="n">
        <v>46143</v>
      </c>
      <c r="B210" s="41" t="inlineStr">
        <is>
          <t>K09</t>
        </is>
      </c>
      <c r="C210" s="41" t="inlineStr">
        <is>
          <t>Transactions per active customer</t>
        </is>
      </c>
      <c r="D210" s="41" t="inlineStr">
        <is>
          <t>engagement</t>
        </is>
      </c>
      <c r="E210" s="41" t="inlineStr">
        <is>
          <t>number</t>
        </is>
      </c>
      <c r="F210" s="41" t="inlineStr">
        <is>
          <t>higher</t>
        </is>
      </c>
      <c r="G210" s="67" t="n">
        <v>10.2089752604999</v>
      </c>
    </row>
    <row r="211">
      <c r="A211" s="64" t="n">
        <v>46174</v>
      </c>
      <c r="B211" s="41" t="inlineStr">
        <is>
          <t>K09</t>
        </is>
      </c>
      <c r="C211" s="41" t="inlineStr">
        <is>
          <t>Transactions per active customer</t>
        </is>
      </c>
      <c r="D211" s="41" t="inlineStr">
        <is>
          <t>engagement</t>
        </is>
      </c>
      <c r="E211" s="41" t="inlineStr">
        <is>
          <t>number</t>
        </is>
      </c>
      <c r="F211" s="41" t="inlineStr">
        <is>
          <t>higher</t>
        </is>
      </c>
      <c r="G211" s="67" t="n">
        <v>10.27924436909663</v>
      </c>
    </row>
    <row r="212">
      <c r="A212" s="64" t="n">
        <v>46204</v>
      </c>
      <c r="B212" s="41" t="inlineStr">
        <is>
          <t>K09</t>
        </is>
      </c>
      <c r="C212" s="41" t="inlineStr">
        <is>
          <t>Transactions per active customer</t>
        </is>
      </c>
      <c r="D212" s="41" t="inlineStr">
        <is>
          <t>engagement</t>
        </is>
      </c>
      <c r="E212" s="41" t="inlineStr">
        <is>
          <t>number</t>
        </is>
      </c>
      <c r="F212" s="41" t="inlineStr">
        <is>
          <t>higher</t>
        </is>
      </c>
      <c r="G212" s="67" t="n">
        <v>10.22987390882638</v>
      </c>
    </row>
    <row r="213">
      <c r="A213" s="64" t="n">
        <v>46235</v>
      </c>
      <c r="B213" s="41" t="inlineStr">
        <is>
          <t>K09</t>
        </is>
      </c>
      <c r="C213" s="41" t="inlineStr">
        <is>
          <t>Transactions per active customer</t>
        </is>
      </c>
      <c r="D213" s="41" t="inlineStr">
        <is>
          <t>engagement</t>
        </is>
      </c>
      <c r="E213" s="41" t="inlineStr">
        <is>
          <t>number</t>
        </is>
      </c>
      <c r="F213" s="41" t="inlineStr">
        <is>
          <t>higher</t>
        </is>
      </c>
      <c r="G213" s="67" t="n">
        <v>10.32620667314545</v>
      </c>
    </row>
    <row r="214">
      <c r="A214" s="64" t="n">
        <v>45536</v>
      </c>
      <c r="B214" s="41" t="inlineStr">
        <is>
          <t>K10</t>
        </is>
      </c>
      <c r="C214" s="41" t="inlineStr">
        <is>
          <t>Card activation within 30 days</t>
        </is>
      </c>
      <c r="D214" s="41" t="inlineStr">
        <is>
          <t>cards</t>
        </is>
      </c>
      <c r="E214" s="41" t="inlineStr">
        <is>
          <t>pct</t>
        </is>
      </c>
      <c r="F214" s="41" t="inlineStr">
        <is>
          <t>higher</t>
        </is>
      </c>
      <c r="G214" s="65" t="n">
        <v>0.6042065009560229</v>
      </c>
    </row>
    <row r="215">
      <c r="A215" s="64" t="n">
        <v>45566</v>
      </c>
      <c r="B215" s="41" t="inlineStr">
        <is>
          <t>K10</t>
        </is>
      </c>
      <c r="C215" s="41" t="inlineStr">
        <is>
          <t>Card activation within 30 days</t>
        </is>
      </c>
      <c r="D215" s="41" t="inlineStr">
        <is>
          <t>cards</t>
        </is>
      </c>
      <c r="E215" s="41" t="inlineStr">
        <is>
          <t>pct</t>
        </is>
      </c>
      <c r="F215" s="41" t="inlineStr">
        <is>
          <t>higher</t>
        </is>
      </c>
      <c r="G215" s="65" t="n">
        <v>0.5574614065180102</v>
      </c>
    </row>
    <row r="216">
      <c r="A216" s="64" t="n">
        <v>45597</v>
      </c>
      <c r="B216" s="41" t="inlineStr">
        <is>
          <t>K10</t>
        </is>
      </c>
      <c r="C216" s="41" t="inlineStr">
        <is>
          <t>Card activation within 30 days</t>
        </is>
      </c>
      <c r="D216" s="41" t="inlineStr">
        <is>
          <t>cards</t>
        </is>
      </c>
      <c r="E216" s="41" t="inlineStr">
        <is>
          <t>pct</t>
        </is>
      </c>
      <c r="F216" s="41" t="inlineStr">
        <is>
          <t>higher</t>
        </is>
      </c>
      <c r="G216" s="65" t="n">
        <v>0.6105417276720352</v>
      </c>
    </row>
    <row r="217">
      <c r="A217" s="64" t="n">
        <v>45627</v>
      </c>
      <c r="B217" s="41" t="inlineStr">
        <is>
          <t>K10</t>
        </is>
      </c>
      <c r="C217" s="41" t="inlineStr">
        <is>
          <t>Card activation within 30 days</t>
        </is>
      </c>
      <c r="D217" s="41" t="inlineStr">
        <is>
          <t>cards</t>
        </is>
      </c>
      <c r="E217" s="41" t="inlineStr">
        <is>
          <t>pct</t>
        </is>
      </c>
      <c r="F217" s="41" t="inlineStr">
        <is>
          <t>higher</t>
        </is>
      </c>
      <c r="G217" s="65" t="n">
        <v>0.5600000000000001</v>
      </c>
    </row>
    <row r="218">
      <c r="A218" s="64" t="n">
        <v>45658</v>
      </c>
      <c r="B218" s="41" t="inlineStr">
        <is>
          <t>K10</t>
        </is>
      </c>
      <c r="C218" s="41" t="inlineStr">
        <is>
          <t>Card activation within 30 days</t>
        </is>
      </c>
      <c r="D218" s="41" t="inlineStr">
        <is>
          <t>cards</t>
        </is>
      </c>
      <c r="E218" s="41" t="inlineStr">
        <is>
          <t>pct</t>
        </is>
      </c>
      <c r="F218" s="41" t="inlineStr">
        <is>
          <t>higher</t>
        </is>
      </c>
      <c r="G218" s="65" t="n">
        <v>0.5644444444444444</v>
      </c>
    </row>
    <row r="219">
      <c r="A219" s="64" t="n">
        <v>45689</v>
      </c>
      <c r="B219" s="41" t="inlineStr">
        <is>
          <t>K10</t>
        </is>
      </c>
      <c r="C219" s="41" t="inlineStr">
        <is>
          <t>Card activation within 30 days</t>
        </is>
      </c>
      <c r="D219" s="41" t="inlineStr">
        <is>
          <t>cards</t>
        </is>
      </c>
      <c r="E219" s="41" t="inlineStr">
        <is>
          <t>pct</t>
        </is>
      </c>
      <c r="F219" s="41" t="inlineStr">
        <is>
          <t>higher</t>
        </is>
      </c>
      <c r="G219" s="65" t="n">
        <v>0.6176890156918687</v>
      </c>
    </row>
    <row r="220">
      <c r="A220" s="64" t="n">
        <v>45717</v>
      </c>
      <c r="B220" s="41" t="inlineStr">
        <is>
          <t>K10</t>
        </is>
      </c>
      <c r="C220" s="41" t="inlineStr">
        <is>
          <t>Card activation within 30 days</t>
        </is>
      </c>
      <c r="D220" s="41" t="inlineStr">
        <is>
          <t>cards</t>
        </is>
      </c>
      <c r="E220" s="41" t="inlineStr">
        <is>
          <t>pct</t>
        </is>
      </c>
      <c r="F220" s="41" t="inlineStr">
        <is>
          <t>higher</t>
        </is>
      </c>
      <c r="G220" s="65" t="n">
        <v>0.6166868198307134</v>
      </c>
    </row>
    <row r="221">
      <c r="A221" s="64" t="n">
        <v>45748</v>
      </c>
      <c r="B221" s="41" t="inlineStr">
        <is>
          <t>K10</t>
        </is>
      </c>
      <c r="C221" s="41" t="inlineStr">
        <is>
          <t>Card activation within 30 days</t>
        </is>
      </c>
      <c r="D221" s="41" t="inlineStr">
        <is>
          <t>cards</t>
        </is>
      </c>
      <c r="E221" s="41" t="inlineStr">
        <is>
          <t>pct</t>
        </is>
      </c>
      <c r="F221" s="41" t="inlineStr">
        <is>
          <t>higher</t>
        </is>
      </c>
      <c r="G221" s="65" t="n">
        <v>0.6136919315403423</v>
      </c>
    </row>
    <row r="222">
      <c r="A222" s="64" t="n">
        <v>45778</v>
      </c>
      <c r="B222" s="41" t="inlineStr">
        <is>
          <t>K10</t>
        </is>
      </c>
      <c r="C222" s="41" t="inlineStr">
        <is>
          <t>Card activation within 30 days</t>
        </is>
      </c>
      <c r="D222" s="41" t="inlineStr">
        <is>
          <t>cards</t>
        </is>
      </c>
      <c r="E222" s="41" t="inlineStr">
        <is>
          <t>pct</t>
        </is>
      </c>
      <c r="F222" s="41" t="inlineStr">
        <is>
          <t>higher</t>
        </is>
      </c>
      <c r="G222" s="65" t="n">
        <v>0.591358024691358</v>
      </c>
    </row>
    <row r="223">
      <c r="A223" s="64" t="n">
        <v>45809</v>
      </c>
      <c r="B223" s="41" t="inlineStr">
        <is>
          <t>K10</t>
        </is>
      </c>
      <c r="C223" s="41" t="inlineStr">
        <is>
          <t>Card activation within 30 days</t>
        </is>
      </c>
      <c r="D223" s="41" t="inlineStr">
        <is>
          <t>cards</t>
        </is>
      </c>
      <c r="E223" s="41" t="inlineStr">
        <is>
          <t>pct</t>
        </is>
      </c>
      <c r="F223" s="41" t="inlineStr">
        <is>
          <t>higher</t>
        </is>
      </c>
      <c r="G223" s="65" t="n">
        <v>0.6179245283018868</v>
      </c>
    </row>
    <row r="224">
      <c r="A224" s="64" t="n">
        <v>45839</v>
      </c>
      <c r="B224" s="41" t="inlineStr">
        <is>
          <t>K10</t>
        </is>
      </c>
      <c r="C224" s="41" t="inlineStr">
        <is>
          <t>Card activation within 30 days</t>
        </is>
      </c>
      <c r="D224" s="41" t="inlineStr">
        <is>
          <t>cards</t>
        </is>
      </c>
      <c r="E224" s="41" t="inlineStr">
        <is>
          <t>pct</t>
        </is>
      </c>
      <c r="F224" s="41" t="inlineStr">
        <is>
          <t>higher</t>
        </is>
      </c>
      <c r="G224" s="65" t="n">
        <v>0.5682352941176471</v>
      </c>
    </row>
    <row r="225">
      <c r="A225" s="64" t="n">
        <v>45870</v>
      </c>
      <c r="B225" s="41" t="inlineStr">
        <is>
          <t>K10</t>
        </is>
      </c>
      <c r="C225" s="41" t="inlineStr">
        <is>
          <t>Card activation within 30 days</t>
        </is>
      </c>
      <c r="D225" s="41" t="inlineStr">
        <is>
          <t>cards</t>
        </is>
      </c>
      <c r="E225" s="41" t="inlineStr">
        <is>
          <t>pct</t>
        </is>
      </c>
      <c r="F225" s="41" t="inlineStr">
        <is>
          <t>higher</t>
        </is>
      </c>
      <c r="G225" s="65" t="n">
        <v>0.6056955093099672</v>
      </c>
    </row>
    <row r="226">
      <c r="A226" s="64" t="n">
        <v>45901</v>
      </c>
      <c r="B226" s="41" t="inlineStr">
        <is>
          <t>K10</t>
        </is>
      </c>
      <c r="C226" s="41" t="inlineStr">
        <is>
          <t>Card activation within 30 days</t>
        </is>
      </c>
      <c r="D226" s="41" t="inlineStr">
        <is>
          <t>cards</t>
        </is>
      </c>
      <c r="E226" s="41" t="inlineStr">
        <is>
          <t>pct</t>
        </is>
      </c>
      <c r="F226" s="41" t="inlineStr">
        <is>
          <t>higher</t>
        </is>
      </c>
      <c r="G226" s="65" t="n">
        <v>0.5827956989247312</v>
      </c>
    </row>
    <row r="227">
      <c r="A227" s="64" t="n">
        <v>45931</v>
      </c>
      <c r="B227" s="41" t="inlineStr">
        <is>
          <t>K10</t>
        </is>
      </c>
      <c r="C227" s="41" t="inlineStr">
        <is>
          <t>Card activation within 30 days</t>
        </is>
      </c>
      <c r="D227" s="41" t="inlineStr">
        <is>
          <t>cards</t>
        </is>
      </c>
      <c r="E227" s="41" t="inlineStr">
        <is>
          <t>pct</t>
        </is>
      </c>
      <c r="F227" s="41" t="inlineStr">
        <is>
          <t>higher</t>
        </is>
      </c>
      <c r="G227" s="65" t="n">
        <v>0.5910973084886129</v>
      </c>
    </row>
    <row r="228">
      <c r="A228" s="64" t="n">
        <v>45962</v>
      </c>
      <c r="B228" s="41" t="inlineStr">
        <is>
          <t>K10</t>
        </is>
      </c>
      <c r="C228" s="41" t="inlineStr">
        <is>
          <t>Card activation within 30 days</t>
        </is>
      </c>
      <c r="D228" s="41" t="inlineStr">
        <is>
          <t>cards</t>
        </is>
      </c>
      <c r="E228" s="41" t="inlineStr">
        <is>
          <t>pct</t>
        </is>
      </c>
      <c r="F228" s="41" t="inlineStr">
        <is>
          <t>higher</t>
        </is>
      </c>
      <c r="G228" s="65" t="n">
        <v>0.5836614173228346</v>
      </c>
    </row>
    <row r="229">
      <c r="A229" s="64" t="n">
        <v>45992</v>
      </c>
      <c r="B229" s="41" t="inlineStr">
        <is>
          <t>K10</t>
        </is>
      </c>
      <c r="C229" s="41" t="inlineStr">
        <is>
          <t>Card activation within 30 days</t>
        </is>
      </c>
      <c r="D229" s="41" t="inlineStr">
        <is>
          <t>cards</t>
        </is>
      </c>
      <c r="E229" s="41" t="inlineStr">
        <is>
          <t>pct</t>
        </is>
      </c>
      <c r="F229" s="41" t="inlineStr">
        <is>
          <t>higher</t>
        </is>
      </c>
      <c r="G229" s="65" t="n">
        <v>0.5638963360142984</v>
      </c>
    </row>
    <row r="230">
      <c r="A230" s="64" t="n">
        <v>46023</v>
      </c>
      <c r="B230" s="41" t="inlineStr">
        <is>
          <t>K10</t>
        </is>
      </c>
      <c r="C230" s="41" t="inlineStr">
        <is>
          <t>Card activation within 30 days</t>
        </is>
      </c>
      <c r="D230" s="41" t="inlineStr">
        <is>
          <t>cards</t>
        </is>
      </c>
      <c r="E230" s="41" t="inlineStr">
        <is>
          <t>pct</t>
        </is>
      </c>
      <c r="F230" s="41" t="inlineStr">
        <is>
          <t>higher</t>
        </is>
      </c>
      <c r="G230" s="65" t="n">
        <v>0.5880250223413762</v>
      </c>
    </row>
    <row r="231">
      <c r="A231" s="64" t="n">
        <v>46054</v>
      </c>
      <c r="B231" s="41" t="inlineStr">
        <is>
          <t>K10</t>
        </is>
      </c>
      <c r="C231" s="41" t="inlineStr">
        <is>
          <t>Card activation within 30 days</t>
        </is>
      </c>
      <c r="D231" s="41" t="inlineStr">
        <is>
          <t>cards</t>
        </is>
      </c>
      <c r="E231" s="41" t="inlineStr">
        <is>
          <t>pct</t>
        </is>
      </c>
      <c r="F231" s="41" t="inlineStr">
        <is>
          <t>higher</t>
        </is>
      </c>
      <c r="G231" s="65" t="n">
        <v>0.6169617893755824</v>
      </c>
    </row>
    <row r="232">
      <c r="A232" s="64" t="n">
        <v>46082</v>
      </c>
      <c r="B232" s="41" t="inlineStr">
        <is>
          <t>K10</t>
        </is>
      </c>
      <c r="C232" s="41" t="inlineStr">
        <is>
          <t>Card activation within 30 days</t>
        </is>
      </c>
      <c r="D232" s="41" t="inlineStr">
        <is>
          <t>cards</t>
        </is>
      </c>
      <c r="E232" s="41" t="inlineStr">
        <is>
          <t>pct</t>
        </is>
      </c>
      <c r="F232" s="41" t="inlineStr">
        <is>
          <t>higher</t>
        </is>
      </c>
      <c r="G232" s="65" t="n">
        <v>0.5951787198669992</v>
      </c>
    </row>
    <row r="233">
      <c r="A233" s="64" t="n">
        <v>46113</v>
      </c>
      <c r="B233" s="41" t="inlineStr">
        <is>
          <t>K10</t>
        </is>
      </c>
      <c r="C233" s="41" t="inlineStr">
        <is>
          <t>Card activation within 30 days</t>
        </is>
      </c>
      <c r="D233" s="41" t="inlineStr">
        <is>
          <t>cards</t>
        </is>
      </c>
      <c r="E233" s="41" t="inlineStr">
        <is>
          <t>pct</t>
        </is>
      </c>
      <c r="F233" s="41" t="inlineStr">
        <is>
          <t>higher</t>
        </is>
      </c>
      <c r="G233" s="65" t="n">
        <v>0.5901785714285714</v>
      </c>
    </row>
    <row r="234">
      <c r="A234" s="64" t="n">
        <v>46143</v>
      </c>
      <c r="B234" s="41" t="inlineStr">
        <is>
          <t>K10</t>
        </is>
      </c>
      <c r="C234" s="41" t="inlineStr">
        <is>
          <t>Card activation within 30 days</t>
        </is>
      </c>
      <c r="D234" s="41" t="inlineStr">
        <is>
          <t>cards</t>
        </is>
      </c>
      <c r="E234" s="41" t="inlineStr">
        <is>
          <t>pct</t>
        </is>
      </c>
      <c r="F234" s="41" t="inlineStr">
        <is>
          <t>higher</t>
        </is>
      </c>
      <c r="G234" s="65" t="n">
        <v>0.575920245398773</v>
      </c>
    </row>
    <row r="235">
      <c r="A235" s="64" t="n">
        <v>46174</v>
      </c>
      <c r="B235" s="41" t="inlineStr">
        <is>
          <t>K10</t>
        </is>
      </c>
      <c r="C235" s="41" t="inlineStr">
        <is>
          <t>Card activation within 30 days</t>
        </is>
      </c>
      <c r="D235" s="41" t="inlineStr">
        <is>
          <t>cards</t>
        </is>
      </c>
      <c r="E235" s="41" t="inlineStr">
        <is>
          <t>pct</t>
        </is>
      </c>
      <c r="F235" s="41" t="inlineStr">
        <is>
          <t>higher</t>
        </is>
      </c>
      <c r="G235" s="65" t="n">
        <v>0.5841660261337432</v>
      </c>
    </row>
    <row r="236">
      <c r="A236" s="64" t="n">
        <v>46204</v>
      </c>
      <c r="B236" s="41" t="inlineStr">
        <is>
          <t>K10</t>
        </is>
      </c>
      <c r="C236" s="41" t="inlineStr">
        <is>
          <t>Card activation within 30 days</t>
        </is>
      </c>
      <c r="D236" s="41" t="inlineStr">
        <is>
          <t>cards</t>
        </is>
      </c>
      <c r="E236" s="41" t="inlineStr">
        <is>
          <t>pct</t>
        </is>
      </c>
      <c r="F236" s="41" t="inlineStr">
        <is>
          <t>higher</t>
        </is>
      </c>
      <c r="G236" s="65" t="n">
        <v>0.5826598089639971</v>
      </c>
    </row>
    <row r="237">
      <c r="A237" s="64" t="n">
        <v>45536</v>
      </c>
      <c r="B237" s="41" t="inlineStr">
        <is>
          <t>K11</t>
        </is>
      </c>
      <c r="C237" s="41" t="inlineStr">
        <is>
          <t>Debit card spend</t>
        </is>
      </c>
      <c r="D237" s="41" t="inlineStr">
        <is>
          <t>cards</t>
        </is>
      </c>
      <c r="E237" s="41" t="inlineStr">
        <is>
          <t>rm</t>
        </is>
      </c>
      <c r="F237" s="41" t="inlineStr">
        <is>
          <t>higher</t>
        </is>
      </c>
      <c r="G237" s="68" t="n">
        <v>319970.43</v>
      </c>
    </row>
    <row r="238">
      <c r="A238" s="64" t="n">
        <v>45566</v>
      </c>
      <c r="B238" s="41" t="inlineStr">
        <is>
          <t>K11</t>
        </is>
      </c>
      <c r="C238" s="41" t="inlineStr">
        <is>
          <t>Debit card spend</t>
        </is>
      </c>
      <c r="D238" s="41" t="inlineStr">
        <is>
          <t>cards</t>
        </is>
      </c>
      <c r="E238" s="41" t="inlineStr">
        <is>
          <t>rm</t>
        </is>
      </c>
      <c r="F238" s="41" t="inlineStr">
        <is>
          <t>higher</t>
        </is>
      </c>
      <c r="G238" s="68" t="n">
        <v>759451.54</v>
      </c>
    </row>
    <row r="239">
      <c r="A239" s="64" t="n">
        <v>45597</v>
      </c>
      <c r="B239" s="41" t="inlineStr">
        <is>
          <t>K11</t>
        </is>
      </c>
      <c r="C239" s="41" t="inlineStr">
        <is>
          <t>Debit card spend</t>
        </is>
      </c>
      <c r="D239" s="41" t="inlineStr">
        <is>
          <t>cards</t>
        </is>
      </c>
      <c r="E239" s="41" t="inlineStr">
        <is>
          <t>rm</t>
        </is>
      </c>
      <c r="F239" s="41" t="inlineStr">
        <is>
          <t>higher</t>
        </is>
      </c>
      <c r="G239" s="68" t="n">
        <v>1283662.45</v>
      </c>
    </row>
    <row r="240">
      <c r="A240" s="64" t="n">
        <v>45627</v>
      </c>
      <c r="B240" s="41" t="inlineStr">
        <is>
          <t>K11</t>
        </is>
      </c>
      <c r="C240" s="41" t="inlineStr">
        <is>
          <t>Debit card spend</t>
        </is>
      </c>
      <c r="D240" s="41" t="inlineStr">
        <is>
          <t>cards</t>
        </is>
      </c>
      <c r="E240" s="41" t="inlineStr">
        <is>
          <t>rm</t>
        </is>
      </c>
      <c r="F240" s="41" t="inlineStr">
        <is>
          <t>higher</t>
        </is>
      </c>
      <c r="G240" s="68" t="n">
        <v>1791308.22</v>
      </c>
    </row>
    <row r="241">
      <c r="A241" s="64" t="n">
        <v>45658</v>
      </c>
      <c r="B241" s="41" t="inlineStr">
        <is>
          <t>K11</t>
        </is>
      </c>
      <c r="C241" s="41" t="inlineStr">
        <is>
          <t>Debit card spend</t>
        </is>
      </c>
      <c r="D241" s="41" t="inlineStr">
        <is>
          <t>cards</t>
        </is>
      </c>
      <c r="E241" s="41" t="inlineStr">
        <is>
          <t>rm</t>
        </is>
      </c>
      <c r="F241" s="41" t="inlineStr">
        <is>
          <t>higher</t>
        </is>
      </c>
      <c r="G241" s="68" t="n">
        <v>2828194.61</v>
      </c>
    </row>
    <row r="242">
      <c r="A242" s="64" t="n">
        <v>45689</v>
      </c>
      <c r="B242" s="41" t="inlineStr">
        <is>
          <t>K11</t>
        </is>
      </c>
      <c r="C242" s="41" t="inlineStr">
        <is>
          <t>Debit card spend</t>
        </is>
      </c>
      <c r="D242" s="41" t="inlineStr">
        <is>
          <t>cards</t>
        </is>
      </c>
      <c r="E242" s="41" t="inlineStr">
        <is>
          <t>rm</t>
        </is>
      </c>
      <c r="F242" s="41" t="inlineStr">
        <is>
          <t>higher</t>
        </is>
      </c>
      <c r="G242" s="68" t="n">
        <v>3446472.16</v>
      </c>
    </row>
    <row r="243">
      <c r="A243" s="64" t="n">
        <v>45717</v>
      </c>
      <c r="B243" s="41" t="inlineStr">
        <is>
          <t>K11</t>
        </is>
      </c>
      <c r="C243" s="41" t="inlineStr">
        <is>
          <t>Debit card spend</t>
        </is>
      </c>
      <c r="D243" s="41" t="inlineStr">
        <is>
          <t>cards</t>
        </is>
      </c>
      <c r="E243" s="41" t="inlineStr">
        <is>
          <t>rm</t>
        </is>
      </c>
      <c r="F243" s="41" t="inlineStr">
        <is>
          <t>higher</t>
        </is>
      </c>
      <c r="G243" s="68" t="n">
        <v>4070805.42</v>
      </c>
    </row>
    <row r="244">
      <c r="A244" s="64" t="n">
        <v>45748</v>
      </c>
      <c r="B244" s="41" t="inlineStr">
        <is>
          <t>K11</t>
        </is>
      </c>
      <c r="C244" s="41" t="inlineStr">
        <is>
          <t>Debit card spend</t>
        </is>
      </c>
      <c r="D244" s="41" t="inlineStr">
        <is>
          <t>cards</t>
        </is>
      </c>
      <c r="E244" s="41" t="inlineStr">
        <is>
          <t>rm</t>
        </is>
      </c>
      <c r="F244" s="41" t="inlineStr">
        <is>
          <t>higher</t>
        </is>
      </c>
      <c r="G244" s="68" t="n">
        <v>4518433.1</v>
      </c>
    </row>
    <row r="245">
      <c r="A245" s="64" t="n">
        <v>45778</v>
      </c>
      <c r="B245" s="41" t="inlineStr">
        <is>
          <t>K11</t>
        </is>
      </c>
      <c r="C245" s="41" t="inlineStr">
        <is>
          <t>Debit card spend</t>
        </is>
      </c>
      <c r="D245" s="41" t="inlineStr">
        <is>
          <t>cards</t>
        </is>
      </c>
      <c r="E245" s="41" t="inlineStr">
        <is>
          <t>rm</t>
        </is>
      </c>
      <c r="F245" s="41" t="inlineStr">
        <is>
          <t>higher</t>
        </is>
      </c>
      <c r="G245" s="68" t="n">
        <v>4980276.14</v>
      </c>
    </row>
    <row r="246">
      <c r="A246" s="64" t="n">
        <v>45809</v>
      </c>
      <c r="B246" s="41" t="inlineStr">
        <is>
          <t>K11</t>
        </is>
      </c>
      <c r="C246" s="41" t="inlineStr">
        <is>
          <t>Debit card spend</t>
        </is>
      </c>
      <c r="D246" s="41" t="inlineStr">
        <is>
          <t>cards</t>
        </is>
      </c>
      <c r="E246" s="41" t="inlineStr">
        <is>
          <t>rm</t>
        </is>
      </c>
      <c r="F246" s="41" t="inlineStr">
        <is>
          <t>higher</t>
        </is>
      </c>
      <c r="G246" s="68" t="n">
        <v>5833708.46</v>
      </c>
    </row>
    <row r="247">
      <c r="A247" s="64" t="n">
        <v>45839</v>
      </c>
      <c r="B247" s="41" t="inlineStr">
        <is>
          <t>K11</t>
        </is>
      </c>
      <c r="C247" s="41" t="inlineStr">
        <is>
          <t>Debit card spend</t>
        </is>
      </c>
      <c r="D247" s="41" t="inlineStr">
        <is>
          <t>cards</t>
        </is>
      </c>
      <c r="E247" s="41" t="inlineStr">
        <is>
          <t>rm</t>
        </is>
      </c>
      <c r="F247" s="41" t="inlineStr">
        <is>
          <t>higher</t>
        </is>
      </c>
      <c r="G247" s="68" t="n">
        <v>7044832.33</v>
      </c>
    </row>
    <row r="248">
      <c r="A248" s="64" t="n">
        <v>45870</v>
      </c>
      <c r="B248" s="41" t="inlineStr">
        <is>
          <t>K11</t>
        </is>
      </c>
      <c r="C248" s="41" t="inlineStr">
        <is>
          <t>Debit card spend</t>
        </is>
      </c>
      <c r="D248" s="41" t="inlineStr">
        <is>
          <t>cards</t>
        </is>
      </c>
      <c r="E248" s="41" t="inlineStr">
        <is>
          <t>rm</t>
        </is>
      </c>
      <c r="F248" s="41" t="inlineStr">
        <is>
          <t>higher</t>
        </is>
      </c>
      <c r="G248" s="68" t="n">
        <v>7896663.58</v>
      </c>
    </row>
    <row r="249">
      <c r="A249" s="64" t="n">
        <v>45901</v>
      </c>
      <c r="B249" s="41" t="inlineStr">
        <is>
          <t>K11</t>
        </is>
      </c>
      <c r="C249" s="41" t="inlineStr">
        <is>
          <t>Debit card spend</t>
        </is>
      </c>
      <c r="D249" s="41" t="inlineStr">
        <is>
          <t>cards</t>
        </is>
      </c>
      <c r="E249" s="41" t="inlineStr">
        <is>
          <t>rm</t>
        </is>
      </c>
      <c r="F249" s="41" t="inlineStr">
        <is>
          <t>higher</t>
        </is>
      </c>
      <c r="G249" s="68" t="n">
        <v>8363593.4</v>
      </c>
    </row>
    <row r="250">
      <c r="A250" s="64" t="n">
        <v>45931</v>
      </c>
      <c r="B250" s="41" t="inlineStr">
        <is>
          <t>K11</t>
        </is>
      </c>
      <c r="C250" s="41" t="inlineStr">
        <is>
          <t>Debit card spend</t>
        </is>
      </c>
      <c r="D250" s="41" t="inlineStr">
        <is>
          <t>cards</t>
        </is>
      </c>
      <c r="E250" s="41" t="inlineStr">
        <is>
          <t>rm</t>
        </is>
      </c>
      <c r="F250" s="41" t="inlineStr">
        <is>
          <t>higher</t>
        </is>
      </c>
      <c r="G250" s="68" t="n">
        <v>9258956.85</v>
      </c>
    </row>
    <row r="251">
      <c r="A251" s="64" t="n">
        <v>45962</v>
      </c>
      <c r="B251" s="41" t="inlineStr">
        <is>
          <t>K11</t>
        </is>
      </c>
      <c r="C251" s="41" t="inlineStr">
        <is>
          <t>Debit card spend</t>
        </is>
      </c>
      <c r="D251" s="41" t="inlineStr">
        <is>
          <t>cards</t>
        </is>
      </c>
      <c r="E251" s="41" t="inlineStr">
        <is>
          <t>rm</t>
        </is>
      </c>
      <c r="F251" s="41" t="inlineStr">
        <is>
          <t>higher</t>
        </is>
      </c>
      <c r="G251" s="68" t="n">
        <v>10085542.41</v>
      </c>
    </row>
    <row r="252">
      <c r="A252" s="64" t="n">
        <v>45992</v>
      </c>
      <c r="B252" s="41" t="inlineStr">
        <is>
          <t>K11</t>
        </is>
      </c>
      <c r="C252" s="41" t="inlineStr">
        <is>
          <t>Debit card spend</t>
        </is>
      </c>
      <c r="D252" s="41" t="inlineStr">
        <is>
          <t>cards</t>
        </is>
      </c>
      <c r="E252" s="41" t="inlineStr">
        <is>
          <t>rm</t>
        </is>
      </c>
      <c r="F252" s="41" t="inlineStr">
        <is>
          <t>higher</t>
        </is>
      </c>
      <c r="G252" s="68" t="n">
        <v>10605785.65</v>
      </c>
    </row>
    <row r="253">
      <c r="A253" s="64" t="n">
        <v>46023</v>
      </c>
      <c r="B253" s="41" t="inlineStr">
        <is>
          <t>K11</t>
        </is>
      </c>
      <c r="C253" s="41" t="inlineStr">
        <is>
          <t>Debit card spend</t>
        </is>
      </c>
      <c r="D253" s="41" t="inlineStr">
        <is>
          <t>cards</t>
        </is>
      </c>
      <c r="E253" s="41" t="inlineStr">
        <is>
          <t>rm</t>
        </is>
      </c>
      <c r="F253" s="41" t="inlineStr">
        <is>
          <t>higher</t>
        </is>
      </c>
      <c r="G253" s="68" t="n">
        <v>10850337.55</v>
      </c>
    </row>
    <row r="254">
      <c r="A254" s="64" t="n">
        <v>46054</v>
      </c>
      <c r="B254" s="41" t="inlineStr">
        <is>
          <t>K11</t>
        </is>
      </c>
      <c r="C254" s="41" t="inlineStr">
        <is>
          <t>Debit card spend</t>
        </is>
      </c>
      <c r="D254" s="41" t="inlineStr">
        <is>
          <t>cards</t>
        </is>
      </c>
      <c r="E254" s="41" t="inlineStr">
        <is>
          <t>rm</t>
        </is>
      </c>
      <c r="F254" s="41" t="inlineStr">
        <is>
          <t>higher</t>
        </is>
      </c>
      <c r="G254" s="68" t="n">
        <v>11546068.5</v>
      </c>
    </row>
    <row r="255">
      <c r="A255" s="64" t="n">
        <v>46082</v>
      </c>
      <c r="B255" s="41" t="inlineStr">
        <is>
          <t>K11</t>
        </is>
      </c>
      <c r="C255" s="41" t="inlineStr">
        <is>
          <t>Debit card spend</t>
        </is>
      </c>
      <c r="D255" s="41" t="inlineStr">
        <is>
          <t>cards</t>
        </is>
      </c>
      <c r="E255" s="41" t="inlineStr">
        <is>
          <t>rm</t>
        </is>
      </c>
      <c r="F255" s="41" t="inlineStr">
        <is>
          <t>higher</t>
        </is>
      </c>
      <c r="G255" s="68" t="n">
        <v>12377731.85</v>
      </c>
    </row>
    <row r="256">
      <c r="A256" s="64" t="n">
        <v>46113</v>
      </c>
      <c r="B256" s="41" t="inlineStr">
        <is>
          <t>K11</t>
        </is>
      </c>
      <c r="C256" s="41" t="inlineStr">
        <is>
          <t>Debit card spend</t>
        </is>
      </c>
      <c r="D256" s="41" t="inlineStr">
        <is>
          <t>cards</t>
        </is>
      </c>
      <c r="E256" s="41" t="inlineStr">
        <is>
          <t>rm</t>
        </is>
      </c>
      <c r="F256" s="41" t="inlineStr">
        <is>
          <t>higher</t>
        </is>
      </c>
      <c r="G256" s="68" t="n">
        <v>13315520.8</v>
      </c>
    </row>
    <row r="257">
      <c r="A257" s="64" t="n">
        <v>46143</v>
      </c>
      <c r="B257" s="41" t="inlineStr">
        <is>
          <t>K11</t>
        </is>
      </c>
      <c r="C257" s="41" t="inlineStr">
        <is>
          <t>Debit card spend</t>
        </is>
      </c>
      <c r="D257" s="41" t="inlineStr">
        <is>
          <t>cards</t>
        </is>
      </c>
      <c r="E257" s="41" t="inlineStr">
        <is>
          <t>rm</t>
        </is>
      </c>
      <c r="F257" s="41" t="inlineStr">
        <is>
          <t>higher</t>
        </is>
      </c>
      <c r="G257" s="68" t="n">
        <v>14247942.11</v>
      </c>
    </row>
    <row r="258">
      <c r="A258" s="64" t="n">
        <v>46174</v>
      </c>
      <c r="B258" s="41" t="inlineStr">
        <is>
          <t>K11</t>
        </is>
      </c>
      <c r="C258" s="41" t="inlineStr">
        <is>
          <t>Debit card spend</t>
        </is>
      </c>
      <c r="D258" s="41" t="inlineStr">
        <is>
          <t>cards</t>
        </is>
      </c>
      <c r="E258" s="41" t="inlineStr">
        <is>
          <t>rm</t>
        </is>
      </c>
      <c r="F258" s="41" t="inlineStr">
        <is>
          <t>higher</t>
        </is>
      </c>
      <c r="G258" s="68" t="n">
        <v>15116130.47</v>
      </c>
    </row>
    <row r="259">
      <c r="A259" s="64" t="n">
        <v>46204</v>
      </c>
      <c r="B259" s="41" t="inlineStr">
        <is>
          <t>K11</t>
        </is>
      </c>
      <c r="C259" s="41" t="inlineStr">
        <is>
          <t>Debit card spend</t>
        </is>
      </c>
      <c r="D259" s="41" t="inlineStr">
        <is>
          <t>cards</t>
        </is>
      </c>
      <c r="E259" s="41" t="inlineStr">
        <is>
          <t>rm</t>
        </is>
      </c>
      <c r="F259" s="41" t="inlineStr">
        <is>
          <t>higher</t>
        </is>
      </c>
      <c r="G259" s="68" t="n">
        <v>15628972.27</v>
      </c>
    </row>
    <row r="260">
      <c r="A260" s="64" t="n">
        <v>46235</v>
      </c>
      <c r="B260" s="41" t="inlineStr">
        <is>
          <t>K11</t>
        </is>
      </c>
      <c r="C260" s="41" t="inlineStr">
        <is>
          <t>Debit card spend</t>
        </is>
      </c>
      <c r="D260" s="41" t="inlineStr">
        <is>
          <t>cards</t>
        </is>
      </c>
      <c r="E260" s="41" t="inlineStr">
        <is>
          <t>rm</t>
        </is>
      </c>
      <c r="F260" s="41" t="inlineStr">
        <is>
          <t>higher</t>
        </is>
      </c>
      <c r="G260" s="68" t="n">
        <v>16940845.53</v>
      </c>
    </row>
    <row r="261">
      <c r="A261" s="64" t="n">
        <v>45536</v>
      </c>
      <c r="B261" s="41" t="inlineStr">
        <is>
          <t>K12</t>
        </is>
      </c>
      <c r="C261" s="41" t="inlineStr">
        <is>
          <t>Card approval rate</t>
        </is>
      </c>
      <c r="D261" s="41" t="inlineStr">
        <is>
          <t>cards</t>
        </is>
      </c>
      <c r="E261" s="41" t="inlineStr">
        <is>
          <t>pct</t>
        </is>
      </c>
      <c r="F261" s="41" t="inlineStr">
        <is>
          <t>higher</t>
        </is>
      </c>
      <c r="G261" s="65" t="n">
        <v>0.9561551433389545</v>
      </c>
    </row>
    <row r="262">
      <c r="A262" s="64" t="n">
        <v>45566</v>
      </c>
      <c r="B262" s="41" t="inlineStr">
        <is>
          <t>K12</t>
        </is>
      </c>
      <c r="C262" s="41" t="inlineStr">
        <is>
          <t>Card approval rate</t>
        </is>
      </c>
      <c r="D262" s="41" t="inlineStr">
        <is>
          <t>cards</t>
        </is>
      </c>
      <c r="E262" s="41" t="inlineStr">
        <is>
          <t>pct</t>
        </is>
      </c>
      <c r="F262" s="41" t="inlineStr">
        <is>
          <t>higher</t>
        </is>
      </c>
      <c r="G262" s="65" t="n">
        <v>0.9516567083107007</v>
      </c>
    </row>
    <row r="263">
      <c r="A263" s="64" t="n">
        <v>45597</v>
      </c>
      <c r="B263" s="41" t="inlineStr">
        <is>
          <t>K12</t>
        </is>
      </c>
      <c r="C263" s="41" t="inlineStr">
        <is>
          <t>Card approval rate</t>
        </is>
      </c>
      <c r="D263" s="41" t="inlineStr">
        <is>
          <t>cards</t>
        </is>
      </c>
      <c r="E263" s="41" t="inlineStr">
        <is>
          <t>pct</t>
        </is>
      </c>
      <c r="F263" s="41" t="inlineStr">
        <is>
          <t>higher</t>
        </is>
      </c>
      <c r="G263" s="65" t="n">
        <v>0.9549694805942647</v>
      </c>
    </row>
    <row r="264">
      <c r="A264" s="64" t="n">
        <v>45627</v>
      </c>
      <c r="B264" s="41" t="inlineStr">
        <is>
          <t>K12</t>
        </is>
      </c>
      <c r="C264" s="41" t="inlineStr">
        <is>
          <t>Card approval rate</t>
        </is>
      </c>
      <c r="D264" s="41" t="inlineStr">
        <is>
          <t>cards</t>
        </is>
      </c>
      <c r="E264" s="41" t="inlineStr">
        <is>
          <t>pct</t>
        </is>
      </c>
      <c r="F264" s="41" t="inlineStr">
        <is>
          <t>higher</t>
        </is>
      </c>
      <c r="G264" s="65" t="n">
        <v>0.9525365574707949</v>
      </c>
    </row>
    <row r="265">
      <c r="A265" s="64" t="n">
        <v>45658</v>
      </c>
      <c r="B265" s="41" t="inlineStr">
        <is>
          <t>K12</t>
        </is>
      </c>
      <c r="C265" s="41" t="inlineStr">
        <is>
          <t>Card approval rate</t>
        </is>
      </c>
      <c r="D265" s="41" t="inlineStr">
        <is>
          <t>cards</t>
        </is>
      </c>
      <c r="E265" s="41" t="inlineStr">
        <is>
          <t>pct</t>
        </is>
      </c>
      <c r="F265" s="41" t="inlineStr">
        <is>
          <t>higher</t>
        </is>
      </c>
      <c r="G265" s="65" t="n">
        <v>0.9539781591263651</v>
      </c>
    </row>
    <row r="266">
      <c r="A266" s="64" t="n">
        <v>45689</v>
      </c>
      <c r="B266" s="41" t="inlineStr">
        <is>
          <t>K12</t>
        </is>
      </c>
      <c r="C266" s="41" t="inlineStr">
        <is>
          <t>Card approval rate</t>
        </is>
      </c>
      <c r="D266" s="41" t="inlineStr">
        <is>
          <t>cards</t>
        </is>
      </c>
      <c r="E266" s="41" t="inlineStr">
        <is>
          <t>pct</t>
        </is>
      </c>
      <c r="F266" s="41" t="inlineStr">
        <is>
          <t>higher</t>
        </is>
      </c>
      <c r="G266" s="65" t="n">
        <v>0.9529918969457719</v>
      </c>
    </row>
    <row r="267">
      <c r="A267" s="64" t="n">
        <v>45717</v>
      </c>
      <c r="B267" s="41" t="inlineStr">
        <is>
          <t>K12</t>
        </is>
      </c>
      <c r="C267" s="41" t="inlineStr">
        <is>
          <t>Card approval rate</t>
        </is>
      </c>
      <c r="D267" s="41" t="inlineStr">
        <is>
          <t>cards</t>
        </is>
      </c>
      <c r="E267" s="41" t="inlineStr">
        <is>
          <t>pct</t>
        </is>
      </c>
      <c r="F267" s="41" t="inlineStr">
        <is>
          <t>higher</t>
        </is>
      </c>
      <c r="G267" s="65" t="n">
        <v>0.9511958083326291</v>
      </c>
    </row>
    <row r="268">
      <c r="A268" s="64" t="n">
        <v>45748</v>
      </c>
      <c r="B268" s="41" t="inlineStr">
        <is>
          <t>K12</t>
        </is>
      </c>
      <c r="C268" s="41" t="inlineStr">
        <is>
          <t>Card approval rate</t>
        </is>
      </c>
      <c r="D268" s="41" t="inlineStr">
        <is>
          <t>cards</t>
        </is>
      </c>
      <c r="E268" s="41" t="inlineStr">
        <is>
          <t>pct</t>
        </is>
      </c>
      <c r="F268" s="41" t="inlineStr">
        <is>
          <t>higher</t>
        </is>
      </c>
      <c r="G268" s="65" t="n">
        <v>0.9539245366610057</v>
      </c>
    </row>
    <row r="269">
      <c r="A269" s="64" t="n">
        <v>45778</v>
      </c>
      <c r="B269" s="41" t="inlineStr">
        <is>
          <t>K12</t>
        </is>
      </c>
      <c r="C269" s="41" t="inlineStr">
        <is>
          <t>Card approval rate</t>
        </is>
      </c>
      <c r="D269" s="41" t="inlineStr">
        <is>
          <t>cards</t>
        </is>
      </c>
      <c r="E269" s="41" t="inlineStr">
        <is>
          <t>pct</t>
        </is>
      </c>
      <c r="F269" s="41" t="inlineStr">
        <is>
          <t>higher</t>
        </is>
      </c>
      <c r="G269" s="65" t="n">
        <v>0.9515834640878671</v>
      </c>
    </row>
    <row r="270">
      <c r="A270" s="64" t="n">
        <v>45809</v>
      </c>
      <c r="B270" s="41" t="inlineStr">
        <is>
          <t>K12</t>
        </is>
      </c>
      <c r="C270" s="41" t="inlineStr">
        <is>
          <t>Card approval rate</t>
        </is>
      </c>
      <c r="D270" s="41" t="inlineStr">
        <is>
          <t>cards</t>
        </is>
      </c>
      <c r="E270" s="41" t="inlineStr">
        <is>
          <t>pct</t>
        </is>
      </c>
      <c r="F270" s="41" t="inlineStr">
        <is>
          <t>higher</t>
        </is>
      </c>
      <c r="G270" s="65" t="n">
        <v>0.9522330754898086</v>
      </c>
    </row>
    <row r="271">
      <c r="A271" s="64" t="n">
        <v>45839</v>
      </c>
      <c r="B271" s="41" t="inlineStr">
        <is>
          <t>K12</t>
        </is>
      </c>
      <c r="C271" s="41" t="inlineStr">
        <is>
          <t>Card approval rate</t>
        </is>
      </c>
      <c r="D271" s="41" t="inlineStr">
        <is>
          <t>cards</t>
        </is>
      </c>
      <c r="E271" s="41" t="inlineStr">
        <is>
          <t>pct</t>
        </is>
      </c>
      <c r="F271" s="41" t="inlineStr">
        <is>
          <t>higher</t>
        </is>
      </c>
      <c r="G271" s="65" t="n">
        <v>0.9534666700295089</v>
      </c>
    </row>
    <row r="272">
      <c r="A272" s="64" t="n">
        <v>45870</v>
      </c>
      <c r="B272" s="41" t="inlineStr">
        <is>
          <t>K12</t>
        </is>
      </c>
      <c r="C272" s="41" t="inlineStr">
        <is>
          <t>Card approval rate</t>
        </is>
      </c>
      <c r="D272" s="41" t="inlineStr">
        <is>
          <t>cards</t>
        </is>
      </c>
      <c r="E272" s="41" t="inlineStr">
        <is>
          <t>pct</t>
        </is>
      </c>
      <c r="F272" s="41" t="inlineStr">
        <is>
          <t>higher</t>
        </is>
      </c>
      <c r="G272" s="65" t="n">
        <v>0.9519638639855089</v>
      </c>
    </row>
    <row r="273">
      <c r="A273" s="64" t="n">
        <v>45901</v>
      </c>
      <c r="B273" s="41" t="inlineStr">
        <is>
          <t>K12</t>
        </is>
      </c>
      <c r="C273" s="41" t="inlineStr">
        <is>
          <t>Card approval rate</t>
        </is>
      </c>
      <c r="D273" s="41" t="inlineStr">
        <is>
          <t>cards</t>
        </is>
      </c>
      <c r="E273" s="41" t="inlineStr">
        <is>
          <t>pct</t>
        </is>
      </c>
      <c r="F273" s="41" t="inlineStr">
        <is>
          <t>higher</t>
        </is>
      </c>
      <c r="G273" s="65" t="n">
        <v>0.9528367086221701</v>
      </c>
    </row>
    <row r="274">
      <c r="A274" s="64" t="n">
        <v>45931</v>
      </c>
      <c r="B274" s="41" t="inlineStr">
        <is>
          <t>K12</t>
        </is>
      </c>
      <c r="C274" s="41" t="inlineStr">
        <is>
          <t>Card approval rate</t>
        </is>
      </c>
      <c r="D274" s="41" t="inlineStr">
        <is>
          <t>cards</t>
        </is>
      </c>
      <c r="E274" s="41" t="inlineStr">
        <is>
          <t>pct</t>
        </is>
      </c>
      <c r="F274" s="41" t="inlineStr">
        <is>
          <t>higher</t>
        </is>
      </c>
      <c r="G274" s="65" t="n">
        <v>0.9533909912730404</v>
      </c>
    </row>
    <row r="275">
      <c r="A275" s="64" t="n">
        <v>45962</v>
      </c>
      <c r="B275" s="41" t="inlineStr">
        <is>
          <t>K12</t>
        </is>
      </c>
      <c r="C275" s="41" t="inlineStr">
        <is>
          <t>Card approval rate</t>
        </is>
      </c>
      <c r="D275" s="41" t="inlineStr">
        <is>
          <t>cards</t>
        </is>
      </c>
      <c r="E275" s="41" t="inlineStr">
        <is>
          <t>pct</t>
        </is>
      </c>
      <c r="F275" s="41" t="inlineStr">
        <is>
          <t>higher</t>
        </is>
      </c>
      <c r="G275" s="65" t="n">
        <v>0.9513940421923036</v>
      </c>
    </row>
    <row r="276">
      <c r="A276" s="64" t="n">
        <v>45992</v>
      </c>
      <c r="B276" s="41" t="inlineStr">
        <is>
          <t>K12</t>
        </is>
      </c>
      <c r="C276" s="41" t="inlineStr">
        <is>
          <t>Card approval rate</t>
        </is>
      </c>
      <c r="D276" s="41" t="inlineStr">
        <is>
          <t>cards</t>
        </is>
      </c>
      <c r="E276" s="41" t="inlineStr">
        <is>
          <t>pct</t>
        </is>
      </c>
      <c r="F276" s="41" t="inlineStr">
        <is>
          <t>higher</t>
        </is>
      </c>
      <c r="G276" s="65" t="n">
        <v>0.9498647668051983</v>
      </c>
    </row>
    <row r="277">
      <c r="A277" s="64" t="n">
        <v>46023</v>
      </c>
      <c r="B277" s="41" t="inlineStr">
        <is>
          <t>K12</t>
        </is>
      </c>
      <c r="C277" s="41" t="inlineStr">
        <is>
          <t>Card approval rate</t>
        </is>
      </c>
      <c r="D277" s="41" t="inlineStr">
        <is>
          <t>cards</t>
        </is>
      </c>
      <c r="E277" s="41" t="inlineStr">
        <is>
          <t>pct</t>
        </is>
      </c>
      <c r="F277" s="41" t="inlineStr">
        <is>
          <t>higher</t>
        </is>
      </c>
      <c r="G277" s="65" t="n">
        <v>0.9531085754330373</v>
      </c>
    </row>
    <row r="278">
      <c r="A278" s="64" t="n">
        <v>46054</v>
      </c>
      <c r="B278" s="41" t="inlineStr">
        <is>
          <t>K12</t>
        </is>
      </c>
      <c r="C278" s="41" t="inlineStr">
        <is>
          <t>Card approval rate</t>
        </is>
      </c>
      <c r="D278" s="41" t="inlineStr">
        <is>
          <t>cards</t>
        </is>
      </c>
      <c r="E278" s="41" t="inlineStr">
        <is>
          <t>pct</t>
        </is>
      </c>
      <c r="F278" s="41" t="inlineStr">
        <is>
          <t>higher</t>
        </is>
      </c>
      <c r="G278" s="65" t="n">
        <v>0.9529395058222097</v>
      </c>
    </row>
    <row r="279">
      <c r="A279" s="64" t="n">
        <v>46082</v>
      </c>
      <c r="B279" s="41" t="inlineStr">
        <is>
          <t>K12</t>
        </is>
      </c>
      <c r="C279" s="41" t="inlineStr">
        <is>
          <t>Card approval rate</t>
        </is>
      </c>
      <c r="D279" s="41" t="inlineStr">
        <is>
          <t>cards</t>
        </is>
      </c>
      <c r="E279" s="41" t="inlineStr">
        <is>
          <t>pct</t>
        </is>
      </c>
      <c r="F279" s="41" t="inlineStr">
        <is>
          <t>higher</t>
        </is>
      </c>
      <c r="G279" s="65" t="n">
        <v>0.9507842646613373</v>
      </c>
    </row>
    <row r="280">
      <c r="A280" s="64" t="n">
        <v>46113</v>
      </c>
      <c r="B280" s="41" t="inlineStr">
        <is>
          <t>K12</t>
        </is>
      </c>
      <c r="C280" s="41" t="inlineStr">
        <is>
          <t>Card approval rate</t>
        </is>
      </c>
      <c r="D280" s="41" t="inlineStr">
        <is>
          <t>cards</t>
        </is>
      </c>
      <c r="E280" s="41" t="inlineStr">
        <is>
          <t>pct</t>
        </is>
      </c>
      <c r="F280" s="41" t="inlineStr">
        <is>
          <t>higher</t>
        </is>
      </c>
      <c r="G280" s="65" t="n">
        <v>0.951121608556778</v>
      </c>
    </row>
    <row r="281">
      <c r="A281" s="64" t="n">
        <v>46143</v>
      </c>
      <c r="B281" s="41" t="inlineStr">
        <is>
          <t>K12</t>
        </is>
      </c>
      <c r="C281" s="41" t="inlineStr">
        <is>
          <t>Card approval rate</t>
        </is>
      </c>
      <c r="D281" s="41" t="inlineStr">
        <is>
          <t>cards</t>
        </is>
      </c>
      <c r="E281" s="41" t="inlineStr">
        <is>
          <t>pct</t>
        </is>
      </c>
      <c r="F281" s="41" t="inlineStr">
        <is>
          <t>higher</t>
        </is>
      </c>
      <c r="G281" s="65" t="n">
        <v>0.9508635786148405</v>
      </c>
    </row>
    <row r="282">
      <c r="A282" s="64" t="n">
        <v>46174</v>
      </c>
      <c r="B282" s="41" t="inlineStr">
        <is>
          <t>K12</t>
        </is>
      </c>
      <c r="C282" s="41" t="inlineStr">
        <is>
          <t>Card approval rate</t>
        </is>
      </c>
      <c r="D282" s="41" t="inlineStr">
        <is>
          <t>cards</t>
        </is>
      </c>
      <c r="E282" s="41" t="inlineStr">
        <is>
          <t>pct</t>
        </is>
      </c>
      <c r="F282" s="41" t="inlineStr">
        <is>
          <t>higher</t>
        </is>
      </c>
      <c r="G282" s="65" t="n">
        <v>0.9532507372082222</v>
      </c>
    </row>
    <row r="283">
      <c r="A283" s="64" t="n">
        <v>46204</v>
      </c>
      <c r="B283" s="41" t="inlineStr">
        <is>
          <t>K12</t>
        </is>
      </c>
      <c r="C283" s="41" t="inlineStr">
        <is>
          <t>Card approval rate</t>
        </is>
      </c>
      <c r="D283" s="41" t="inlineStr">
        <is>
          <t>cards</t>
        </is>
      </c>
      <c r="E283" s="41" t="inlineStr">
        <is>
          <t>pct</t>
        </is>
      </c>
      <c r="F283" s="41" t="inlineStr">
        <is>
          <t>higher</t>
        </is>
      </c>
      <c r="G283" s="65" t="n">
        <v>0.952931243197054</v>
      </c>
    </row>
    <row r="284">
      <c r="A284" s="64" t="n">
        <v>46235</v>
      </c>
      <c r="B284" s="41" t="inlineStr">
        <is>
          <t>K12</t>
        </is>
      </c>
      <c r="C284" s="41" t="inlineStr">
        <is>
          <t>Card approval rate</t>
        </is>
      </c>
      <c r="D284" s="41" t="inlineStr">
        <is>
          <t>cards</t>
        </is>
      </c>
      <c r="E284" s="41" t="inlineStr">
        <is>
          <t>pct</t>
        </is>
      </c>
      <c r="F284" s="41" t="inlineStr">
        <is>
          <t>higher</t>
        </is>
      </c>
      <c r="G284" s="65" t="n">
        <v>0.9526714646585005</v>
      </c>
    </row>
    <row r="285">
      <c r="A285" s="64" t="n">
        <v>45536</v>
      </c>
      <c r="B285" s="41" t="inlineStr">
        <is>
          <t>K13</t>
        </is>
      </c>
      <c r="C285" s="41" t="inlineStr">
        <is>
          <t>Total deposits</t>
        </is>
      </c>
      <c r="D285" s="41" t="inlineStr">
        <is>
          <t>deposits</t>
        </is>
      </c>
      <c r="E285" s="41" t="inlineStr">
        <is>
          <t>rm</t>
        </is>
      </c>
      <c r="F285" s="41" t="inlineStr">
        <is>
          <t>higher</t>
        </is>
      </c>
      <c r="G285" s="68" t="n">
        <v>2433161.92</v>
      </c>
    </row>
    <row r="286">
      <c r="A286" s="64" t="n">
        <v>45566</v>
      </c>
      <c r="B286" s="41" t="inlineStr">
        <is>
          <t>K13</t>
        </is>
      </c>
      <c r="C286" s="41" t="inlineStr">
        <is>
          <t>Total deposits</t>
        </is>
      </c>
      <c r="D286" s="41" t="inlineStr">
        <is>
          <t>deposits</t>
        </is>
      </c>
      <c r="E286" s="41" t="inlineStr">
        <is>
          <t>rm</t>
        </is>
      </c>
      <c r="F286" s="41" t="inlineStr">
        <is>
          <t>higher</t>
        </is>
      </c>
      <c r="G286" s="68" t="n">
        <v>5297467.55</v>
      </c>
    </row>
    <row r="287">
      <c r="A287" s="64" t="n">
        <v>45597</v>
      </c>
      <c r="B287" s="41" t="inlineStr">
        <is>
          <t>K13</t>
        </is>
      </c>
      <c r="C287" s="41" t="inlineStr">
        <is>
          <t>Total deposits</t>
        </is>
      </c>
      <c r="D287" s="41" t="inlineStr">
        <is>
          <t>deposits</t>
        </is>
      </c>
      <c r="E287" s="41" t="inlineStr">
        <is>
          <t>rm</t>
        </is>
      </c>
      <c r="F287" s="41" t="inlineStr">
        <is>
          <t>higher</t>
        </is>
      </c>
      <c r="G287" s="68" t="n">
        <v>8106996.94</v>
      </c>
    </row>
    <row r="288">
      <c r="A288" s="64" t="n">
        <v>45627</v>
      </c>
      <c r="B288" s="41" t="inlineStr">
        <is>
          <t>K13</t>
        </is>
      </c>
      <c r="C288" s="41" t="inlineStr">
        <is>
          <t>Total deposits</t>
        </is>
      </c>
      <c r="D288" s="41" t="inlineStr">
        <is>
          <t>deposits</t>
        </is>
      </c>
      <c r="E288" s="41" t="inlineStr">
        <is>
          <t>rm</t>
        </is>
      </c>
      <c r="F288" s="41" t="inlineStr">
        <is>
          <t>higher</t>
        </is>
      </c>
      <c r="G288" s="68" t="n">
        <v>11606855.61</v>
      </c>
    </row>
    <row r="289">
      <c r="A289" s="64" t="n">
        <v>45658</v>
      </c>
      <c r="B289" s="41" t="inlineStr">
        <is>
          <t>K13</t>
        </is>
      </c>
      <c r="C289" s="41" t="inlineStr">
        <is>
          <t>Total deposits</t>
        </is>
      </c>
      <c r="D289" s="41" t="inlineStr">
        <is>
          <t>deposits</t>
        </is>
      </c>
      <c r="E289" s="41" t="inlineStr">
        <is>
          <t>rm</t>
        </is>
      </c>
      <c r="F289" s="41" t="inlineStr">
        <is>
          <t>higher</t>
        </is>
      </c>
      <c r="G289" s="68" t="n">
        <v>15752900.84</v>
      </c>
    </row>
    <row r="290">
      <c r="A290" s="64" t="n">
        <v>45689</v>
      </c>
      <c r="B290" s="41" t="inlineStr">
        <is>
          <t>K13</t>
        </is>
      </c>
      <c r="C290" s="41" t="inlineStr">
        <is>
          <t>Total deposits</t>
        </is>
      </c>
      <c r="D290" s="41" t="inlineStr">
        <is>
          <t>deposits</t>
        </is>
      </c>
      <c r="E290" s="41" t="inlineStr">
        <is>
          <t>rm</t>
        </is>
      </c>
      <c r="F290" s="41" t="inlineStr">
        <is>
          <t>higher</t>
        </is>
      </c>
      <c r="G290" s="68" t="n">
        <v>20237397.55</v>
      </c>
    </row>
    <row r="291">
      <c r="A291" s="64" t="n">
        <v>45717</v>
      </c>
      <c r="B291" s="41" t="inlineStr">
        <is>
          <t>K13</t>
        </is>
      </c>
      <c r="C291" s="41" t="inlineStr">
        <is>
          <t>Total deposits</t>
        </is>
      </c>
      <c r="D291" s="41" t="inlineStr">
        <is>
          <t>deposits</t>
        </is>
      </c>
      <c r="E291" s="41" t="inlineStr">
        <is>
          <t>rm</t>
        </is>
      </c>
      <c r="F291" s="41" t="inlineStr">
        <is>
          <t>higher</t>
        </is>
      </c>
      <c r="G291" s="68" t="n">
        <v>25400315.96</v>
      </c>
    </row>
    <row r="292">
      <c r="A292" s="64" t="n">
        <v>45748</v>
      </c>
      <c r="B292" s="41" t="inlineStr">
        <is>
          <t>K13</t>
        </is>
      </c>
      <c r="C292" s="41" t="inlineStr">
        <is>
          <t>Total deposits</t>
        </is>
      </c>
      <c r="D292" s="41" t="inlineStr">
        <is>
          <t>deposits</t>
        </is>
      </c>
      <c r="E292" s="41" t="inlineStr">
        <is>
          <t>rm</t>
        </is>
      </c>
      <c r="F292" s="41" t="inlineStr">
        <is>
          <t>higher</t>
        </is>
      </c>
      <c r="G292" s="68" t="n">
        <v>31896287.25</v>
      </c>
    </row>
    <row r="293">
      <c r="A293" s="64" t="n">
        <v>45778</v>
      </c>
      <c r="B293" s="41" t="inlineStr">
        <is>
          <t>K13</t>
        </is>
      </c>
      <c r="C293" s="41" t="inlineStr">
        <is>
          <t>Total deposits</t>
        </is>
      </c>
      <c r="D293" s="41" t="inlineStr">
        <is>
          <t>deposits</t>
        </is>
      </c>
      <c r="E293" s="41" t="inlineStr">
        <is>
          <t>rm</t>
        </is>
      </c>
      <c r="F293" s="41" t="inlineStr">
        <is>
          <t>higher</t>
        </is>
      </c>
      <c r="G293" s="68" t="n">
        <v>38498323.38</v>
      </c>
    </row>
    <row r="294">
      <c r="A294" s="64" t="n">
        <v>45809</v>
      </c>
      <c r="B294" s="41" t="inlineStr">
        <is>
          <t>K13</t>
        </is>
      </c>
      <c r="C294" s="41" t="inlineStr">
        <is>
          <t>Total deposits</t>
        </is>
      </c>
      <c r="D294" s="41" t="inlineStr">
        <is>
          <t>deposits</t>
        </is>
      </c>
      <c r="E294" s="41" t="inlineStr">
        <is>
          <t>rm</t>
        </is>
      </c>
      <c r="F294" s="41" t="inlineStr">
        <is>
          <t>higher</t>
        </is>
      </c>
      <c r="G294" s="68" t="n">
        <v>43554311.3</v>
      </c>
    </row>
    <row r="295">
      <c r="A295" s="64" t="n">
        <v>45839</v>
      </c>
      <c r="B295" s="41" t="inlineStr">
        <is>
          <t>K13</t>
        </is>
      </c>
      <c r="C295" s="41" t="inlineStr">
        <is>
          <t>Total deposits</t>
        </is>
      </c>
      <c r="D295" s="41" t="inlineStr">
        <is>
          <t>deposits</t>
        </is>
      </c>
      <c r="E295" s="41" t="inlineStr">
        <is>
          <t>rm</t>
        </is>
      </c>
      <c r="F295" s="41" t="inlineStr">
        <is>
          <t>higher</t>
        </is>
      </c>
      <c r="G295" s="68" t="n">
        <v>49919742.79</v>
      </c>
    </row>
    <row r="296">
      <c r="A296" s="64" t="n">
        <v>45870</v>
      </c>
      <c r="B296" s="41" t="inlineStr">
        <is>
          <t>K13</t>
        </is>
      </c>
      <c r="C296" s="41" t="inlineStr">
        <is>
          <t>Total deposits</t>
        </is>
      </c>
      <c r="D296" s="41" t="inlineStr">
        <is>
          <t>deposits</t>
        </is>
      </c>
      <c r="E296" s="41" t="inlineStr">
        <is>
          <t>rm</t>
        </is>
      </c>
      <c r="F296" s="41" t="inlineStr">
        <is>
          <t>higher</t>
        </is>
      </c>
      <c r="G296" s="68" t="n">
        <v>55283152.27</v>
      </c>
    </row>
    <row r="297">
      <c r="A297" s="64" t="n">
        <v>45901</v>
      </c>
      <c r="B297" s="41" t="inlineStr">
        <is>
          <t>K13</t>
        </is>
      </c>
      <c r="C297" s="41" t="inlineStr">
        <is>
          <t>Total deposits</t>
        </is>
      </c>
      <c r="D297" s="41" t="inlineStr">
        <is>
          <t>deposits</t>
        </is>
      </c>
      <c r="E297" s="41" t="inlineStr">
        <is>
          <t>rm</t>
        </is>
      </c>
      <c r="F297" s="41" t="inlineStr">
        <is>
          <t>higher</t>
        </is>
      </c>
      <c r="G297" s="68" t="n">
        <v>60465024.8</v>
      </c>
    </row>
    <row r="298">
      <c r="A298" s="64" t="n">
        <v>45931</v>
      </c>
      <c r="B298" s="41" t="inlineStr">
        <is>
          <t>K13</t>
        </is>
      </c>
      <c r="C298" s="41" t="inlineStr">
        <is>
          <t>Total deposits</t>
        </is>
      </c>
      <c r="D298" s="41" t="inlineStr">
        <is>
          <t>deposits</t>
        </is>
      </c>
      <c r="E298" s="41" t="inlineStr">
        <is>
          <t>rm</t>
        </is>
      </c>
      <c r="F298" s="41" t="inlineStr">
        <is>
          <t>higher</t>
        </is>
      </c>
      <c r="G298" s="68" t="n">
        <v>64932588.21</v>
      </c>
    </row>
    <row r="299">
      <c r="A299" s="64" t="n">
        <v>45962</v>
      </c>
      <c r="B299" s="41" t="inlineStr">
        <is>
          <t>K13</t>
        </is>
      </c>
      <c r="C299" s="41" t="inlineStr">
        <is>
          <t>Total deposits</t>
        </is>
      </c>
      <c r="D299" s="41" t="inlineStr">
        <is>
          <t>deposits</t>
        </is>
      </c>
      <c r="E299" s="41" t="inlineStr">
        <is>
          <t>rm</t>
        </is>
      </c>
      <c r="F299" s="41" t="inlineStr">
        <is>
          <t>higher</t>
        </is>
      </c>
      <c r="G299" s="68" t="n">
        <v>70203165.04000001</v>
      </c>
    </row>
    <row r="300">
      <c r="A300" s="64" t="n">
        <v>45992</v>
      </c>
      <c r="B300" s="41" t="inlineStr">
        <is>
          <t>K13</t>
        </is>
      </c>
      <c r="C300" s="41" t="inlineStr">
        <is>
          <t>Total deposits</t>
        </is>
      </c>
      <c r="D300" s="41" t="inlineStr">
        <is>
          <t>deposits</t>
        </is>
      </c>
      <c r="E300" s="41" t="inlineStr">
        <is>
          <t>rm</t>
        </is>
      </c>
      <c r="F300" s="41" t="inlineStr">
        <is>
          <t>higher</t>
        </is>
      </c>
      <c r="G300" s="68" t="n">
        <v>76447304.16</v>
      </c>
    </row>
    <row r="301">
      <c r="A301" s="64" t="n">
        <v>46023</v>
      </c>
      <c r="B301" s="41" t="inlineStr">
        <is>
          <t>K13</t>
        </is>
      </c>
      <c r="C301" s="41" t="inlineStr">
        <is>
          <t>Total deposits</t>
        </is>
      </c>
      <c r="D301" s="41" t="inlineStr">
        <is>
          <t>deposits</t>
        </is>
      </c>
      <c r="E301" s="41" t="inlineStr">
        <is>
          <t>rm</t>
        </is>
      </c>
      <c r="F301" s="41" t="inlineStr">
        <is>
          <t>higher</t>
        </is>
      </c>
      <c r="G301" s="68" t="n">
        <v>82512299.59999999</v>
      </c>
    </row>
    <row r="302">
      <c r="A302" s="64" t="n">
        <v>46054</v>
      </c>
      <c r="B302" s="41" t="inlineStr">
        <is>
          <t>K13</t>
        </is>
      </c>
      <c r="C302" s="41" t="inlineStr">
        <is>
          <t>Total deposits</t>
        </is>
      </c>
      <c r="D302" s="41" t="inlineStr">
        <is>
          <t>deposits</t>
        </is>
      </c>
      <c r="E302" s="41" t="inlineStr">
        <is>
          <t>rm</t>
        </is>
      </c>
      <c r="F302" s="41" t="inlineStr">
        <is>
          <t>higher</t>
        </is>
      </c>
      <c r="G302" s="68" t="n">
        <v>89736398.06999999</v>
      </c>
    </row>
    <row r="303">
      <c r="A303" s="64" t="n">
        <v>46082</v>
      </c>
      <c r="B303" s="41" t="inlineStr">
        <is>
          <t>K13</t>
        </is>
      </c>
      <c r="C303" s="41" t="inlineStr">
        <is>
          <t>Total deposits</t>
        </is>
      </c>
      <c r="D303" s="41" t="inlineStr">
        <is>
          <t>deposits</t>
        </is>
      </c>
      <c r="E303" s="41" t="inlineStr">
        <is>
          <t>rm</t>
        </is>
      </c>
      <c r="F303" s="41" t="inlineStr">
        <is>
          <t>higher</t>
        </is>
      </c>
      <c r="G303" s="68" t="n">
        <v>95421287.23999999</v>
      </c>
    </row>
    <row r="304">
      <c r="A304" s="64" t="n">
        <v>46113</v>
      </c>
      <c r="B304" s="41" t="inlineStr">
        <is>
          <t>K13</t>
        </is>
      </c>
      <c r="C304" s="41" t="inlineStr">
        <is>
          <t>Total deposits</t>
        </is>
      </c>
      <c r="D304" s="41" t="inlineStr">
        <is>
          <t>deposits</t>
        </is>
      </c>
      <c r="E304" s="41" t="inlineStr">
        <is>
          <t>rm</t>
        </is>
      </c>
      <c r="F304" s="41" t="inlineStr">
        <is>
          <t>higher</t>
        </is>
      </c>
      <c r="G304" s="68" t="n">
        <v>102411594.06</v>
      </c>
    </row>
    <row r="305">
      <c r="A305" s="64" t="n">
        <v>46143</v>
      </c>
      <c r="B305" s="41" t="inlineStr">
        <is>
          <t>K13</t>
        </is>
      </c>
      <c r="C305" s="41" t="inlineStr">
        <is>
          <t>Total deposits</t>
        </is>
      </c>
      <c r="D305" s="41" t="inlineStr">
        <is>
          <t>deposits</t>
        </is>
      </c>
      <c r="E305" s="41" t="inlineStr">
        <is>
          <t>rm</t>
        </is>
      </c>
      <c r="F305" s="41" t="inlineStr">
        <is>
          <t>higher</t>
        </is>
      </c>
      <c r="G305" s="68" t="n">
        <v>109868998.54</v>
      </c>
    </row>
    <row r="306">
      <c r="A306" s="64" t="n">
        <v>46174</v>
      </c>
      <c r="B306" s="41" t="inlineStr">
        <is>
          <t>K13</t>
        </is>
      </c>
      <c r="C306" s="41" t="inlineStr">
        <is>
          <t>Total deposits</t>
        </is>
      </c>
      <c r="D306" s="41" t="inlineStr">
        <is>
          <t>deposits</t>
        </is>
      </c>
      <c r="E306" s="41" t="inlineStr">
        <is>
          <t>rm</t>
        </is>
      </c>
      <c r="F306" s="41" t="inlineStr">
        <is>
          <t>higher</t>
        </is>
      </c>
      <c r="G306" s="68" t="n">
        <v>116968593.9</v>
      </c>
    </row>
    <row r="307">
      <c r="A307" s="64" t="n">
        <v>46204</v>
      </c>
      <c r="B307" s="41" t="inlineStr">
        <is>
          <t>K13</t>
        </is>
      </c>
      <c r="C307" s="41" t="inlineStr">
        <is>
          <t>Total deposits</t>
        </is>
      </c>
      <c r="D307" s="41" t="inlineStr">
        <is>
          <t>deposits</t>
        </is>
      </c>
      <c r="E307" s="41" t="inlineStr">
        <is>
          <t>rm</t>
        </is>
      </c>
      <c r="F307" s="41" t="inlineStr">
        <is>
          <t>higher</t>
        </is>
      </c>
      <c r="G307" s="68" t="n">
        <v>124912658.75</v>
      </c>
    </row>
    <row r="308">
      <c r="A308" s="64" t="n">
        <v>46235</v>
      </c>
      <c r="B308" s="41" t="inlineStr">
        <is>
          <t>K13</t>
        </is>
      </c>
      <c r="C308" s="41" t="inlineStr">
        <is>
          <t>Total deposits</t>
        </is>
      </c>
      <c r="D308" s="41" t="inlineStr">
        <is>
          <t>deposits</t>
        </is>
      </c>
      <c r="E308" s="41" t="inlineStr">
        <is>
          <t>rm</t>
        </is>
      </c>
      <c r="F308" s="41" t="inlineStr">
        <is>
          <t>higher</t>
        </is>
      </c>
      <c r="G308" s="68" t="n">
        <v>132182650.56</v>
      </c>
    </row>
    <row r="309">
      <c r="A309" s="64" t="n">
        <v>45536</v>
      </c>
      <c r="B309" s="41" t="inlineStr">
        <is>
          <t>K14</t>
        </is>
      </c>
      <c r="C309" s="41" t="inlineStr">
        <is>
          <t>CASA ratio</t>
        </is>
      </c>
      <c r="D309" s="41" t="inlineStr">
        <is>
          <t>deposits</t>
        </is>
      </c>
      <c r="E309" s="41" t="inlineStr">
        <is>
          <t>pct</t>
        </is>
      </c>
      <c r="F309" s="41" t="inlineStr">
        <is>
          <t>higher</t>
        </is>
      </c>
      <c r="G309" s="65" t="n">
        <v>0.9706965658906909</v>
      </c>
    </row>
    <row r="310">
      <c r="A310" s="64" t="n">
        <v>45566</v>
      </c>
      <c r="B310" s="41" t="inlineStr">
        <is>
          <t>K14</t>
        </is>
      </c>
      <c r="C310" s="41" t="inlineStr">
        <is>
          <t>CASA ratio</t>
        </is>
      </c>
      <c r="D310" s="41" t="inlineStr">
        <is>
          <t>deposits</t>
        </is>
      </c>
      <c r="E310" s="41" t="inlineStr">
        <is>
          <t>pct</t>
        </is>
      </c>
      <c r="F310" s="41" t="inlineStr">
        <is>
          <t>higher</t>
        </is>
      </c>
      <c r="G310" s="65" t="n">
        <v>0.9504480211492754</v>
      </c>
    </row>
    <row r="311">
      <c r="A311" s="64" t="n">
        <v>45597</v>
      </c>
      <c r="B311" s="41" t="inlineStr">
        <is>
          <t>K14</t>
        </is>
      </c>
      <c r="C311" s="41" t="inlineStr">
        <is>
          <t>CASA ratio</t>
        </is>
      </c>
      <c r="D311" s="41" t="inlineStr">
        <is>
          <t>deposits</t>
        </is>
      </c>
      <c r="E311" s="41" t="inlineStr">
        <is>
          <t>pct</t>
        </is>
      </c>
      <c r="F311" s="41" t="inlineStr">
        <is>
          <t>higher</t>
        </is>
      </c>
      <c r="G311" s="65" t="n">
        <v>0.9312569125010672</v>
      </c>
    </row>
    <row r="312">
      <c r="A312" s="64" t="n">
        <v>45627</v>
      </c>
      <c r="B312" s="41" t="inlineStr">
        <is>
          <t>K14</t>
        </is>
      </c>
      <c r="C312" s="41" t="inlineStr">
        <is>
          <t>CASA ratio</t>
        </is>
      </c>
      <c r="D312" s="41" t="inlineStr">
        <is>
          <t>deposits</t>
        </is>
      </c>
      <c r="E312" s="41" t="inlineStr">
        <is>
          <t>pct</t>
        </is>
      </c>
      <c r="F312" s="41" t="inlineStr">
        <is>
          <t>higher</t>
        </is>
      </c>
      <c r="G312" s="65" t="n">
        <v>0.930308429157757</v>
      </c>
    </row>
    <row r="313">
      <c r="A313" s="64" t="n">
        <v>45658</v>
      </c>
      <c r="B313" s="41" t="inlineStr">
        <is>
          <t>K14</t>
        </is>
      </c>
      <c r="C313" s="41" t="inlineStr">
        <is>
          <t>CASA ratio</t>
        </is>
      </c>
      <c r="D313" s="41" t="inlineStr">
        <is>
          <t>deposits</t>
        </is>
      </c>
      <c r="E313" s="41" t="inlineStr">
        <is>
          <t>pct</t>
        </is>
      </c>
      <c r="F313" s="41" t="inlineStr">
        <is>
          <t>higher</t>
        </is>
      </c>
      <c r="G313" s="65" t="n">
        <v>0.9195513249990089</v>
      </c>
    </row>
    <row r="314">
      <c r="A314" s="64" t="n">
        <v>45689</v>
      </c>
      <c r="B314" s="41" t="inlineStr">
        <is>
          <t>K14</t>
        </is>
      </c>
      <c r="C314" s="41" t="inlineStr">
        <is>
          <t>CASA ratio</t>
        </is>
      </c>
      <c r="D314" s="41" t="inlineStr">
        <is>
          <t>deposits</t>
        </is>
      </c>
      <c r="E314" s="41" t="inlineStr">
        <is>
          <t>pct</t>
        </is>
      </c>
      <c r="F314" s="41" t="inlineStr">
        <is>
          <t>higher</t>
        </is>
      </c>
      <c r="G314" s="65" t="n">
        <v>0.9111644668955965</v>
      </c>
    </row>
    <row r="315">
      <c r="A315" s="64" t="n">
        <v>45717</v>
      </c>
      <c r="B315" s="41" t="inlineStr">
        <is>
          <t>K14</t>
        </is>
      </c>
      <c r="C315" s="41" t="inlineStr">
        <is>
          <t>CASA ratio</t>
        </is>
      </c>
      <c r="D315" s="41" t="inlineStr">
        <is>
          <t>deposits</t>
        </is>
      </c>
      <c r="E315" s="41" t="inlineStr">
        <is>
          <t>pct</t>
        </is>
      </c>
      <c r="F315" s="41" t="inlineStr">
        <is>
          <t>higher</t>
        </is>
      </c>
      <c r="G315" s="65" t="n">
        <v>0.7752576574641947</v>
      </c>
    </row>
    <row r="316">
      <c r="A316" s="64" t="n">
        <v>45748</v>
      </c>
      <c r="B316" s="41" t="inlineStr">
        <is>
          <t>K14</t>
        </is>
      </c>
      <c r="C316" s="41" t="inlineStr">
        <is>
          <t>CASA ratio</t>
        </is>
      </c>
      <c r="D316" s="41" t="inlineStr">
        <is>
          <t>deposits</t>
        </is>
      </c>
      <c r="E316" s="41" t="inlineStr">
        <is>
          <t>pct</t>
        </is>
      </c>
      <c r="F316" s="41" t="inlineStr">
        <is>
          <t>higher</t>
        </is>
      </c>
      <c r="G316" s="65" t="n">
        <v>0.6755894622186788</v>
      </c>
    </row>
    <row r="317">
      <c r="A317" s="64" t="n">
        <v>45778</v>
      </c>
      <c r="B317" s="41" t="inlineStr">
        <is>
          <t>K14</t>
        </is>
      </c>
      <c r="C317" s="41" t="inlineStr">
        <is>
          <t>CASA ratio</t>
        </is>
      </c>
      <c r="D317" s="41" t="inlineStr">
        <is>
          <t>deposits</t>
        </is>
      </c>
      <c r="E317" s="41" t="inlineStr">
        <is>
          <t>pct</t>
        </is>
      </c>
      <c r="F317" s="41" t="inlineStr">
        <is>
          <t>higher</t>
        </is>
      </c>
      <c r="G317" s="65" t="n">
        <v>0.6311108029349199</v>
      </c>
    </row>
    <row r="318">
      <c r="A318" s="64" t="n">
        <v>45809</v>
      </c>
      <c r="B318" s="41" t="inlineStr">
        <is>
          <t>K14</t>
        </is>
      </c>
      <c r="C318" s="41" t="inlineStr">
        <is>
          <t>CASA ratio</t>
        </is>
      </c>
      <c r="D318" s="41" t="inlineStr">
        <is>
          <t>deposits</t>
        </is>
      </c>
      <c r="E318" s="41" t="inlineStr">
        <is>
          <t>pct</t>
        </is>
      </c>
      <c r="F318" s="41" t="inlineStr">
        <is>
          <t>higher</t>
        </is>
      </c>
      <c r="G318" s="65" t="n">
        <v>0.655775748886655</v>
      </c>
    </row>
    <row r="319">
      <c r="A319" s="64" t="n">
        <v>45839</v>
      </c>
      <c r="B319" s="41" t="inlineStr">
        <is>
          <t>K14</t>
        </is>
      </c>
      <c r="C319" s="41" t="inlineStr">
        <is>
          <t>CASA ratio</t>
        </is>
      </c>
      <c r="D319" s="41" t="inlineStr">
        <is>
          <t>deposits</t>
        </is>
      </c>
      <c r="E319" s="41" t="inlineStr">
        <is>
          <t>pct</t>
        </is>
      </c>
      <c r="F319" s="41" t="inlineStr">
        <is>
          <t>higher</t>
        </is>
      </c>
      <c r="G319" s="65" t="n">
        <v>0.6831069459522749</v>
      </c>
    </row>
    <row r="320">
      <c r="A320" s="64" t="n">
        <v>45870</v>
      </c>
      <c r="B320" s="41" t="inlineStr">
        <is>
          <t>K14</t>
        </is>
      </c>
      <c r="C320" s="41" t="inlineStr">
        <is>
          <t>CASA ratio</t>
        </is>
      </c>
      <c r="D320" s="41" t="inlineStr">
        <is>
          <t>deposits</t>
        </is>
      </c>
      <c r="E320" s="41" t="inlineStr">
        <is>
          <t>pct</t>
        </is>
      </c>
      <c r="F320" s="41" t="inlineStr">
        <is>
          <t>higher</t>
        </is>
      </c>
      <c r="G320" s="65" t="n">
        <v>0.691769160579381</v>
      </c>
    </row>
    <row r="321">
      <c r="A321" s="64" t="n">
        <v>45901</v>
      </c>
      <c r="B321" s="41" t="inlineStr">
        <is>
          <t>K14</t>
        </is>
      </c>
      <c r="C321" s="41" t="inlineStr">
        <is>
          <t>CASA ratio</t>
        </is>
      </c>
      <c r="D321" s="41" t="inlineStr">
        <is>
          <t>deposits</t>
        </is>
      </c>
      <c r="E321" s="41" t="inlineStr">
        <is>
          <t>pct</t>
        </is>
      </c>
      <c r="F321" s="41" t="inlineStr">
        <is>
          <t>higher</t>
        </is>
      </c>
      <c r="G321" s="65" t="n">
        <v>0.7296412702372695</v>
      </c>
    </row>
    <row r="322">
      <c r="A322" s="64" t="n">
        <v>45931</v>
      </c>
      <c r="B322" s="41" t="inlineStr">
        <is>
          <t>K14</t>
        </is>
      </c>
      <c r="C322" s="41" t="inlineStr">
        <is>
          <t>CASA ratio</t>
        </is>
      </c>
      <c r="D322" s="41" t="inlineStr">
        <is>
          <t>deposits</t>
        </is>
      </c>
      <c r="E322" s="41" t="inlineStr">
        <is>
          <t>pct</t>
        </is>
      </c>
      <c r="F322" s="41" t="inlineStr">
        <is>
          <t>higher</t>
        </is>
      </c>
      <c r="G322" s="65" t="n">
        <v>0.7781655434184332</v>
      </c>
    </row>
    <row r="323">
      <c r="A323" s="64" t="n">
        <v>45962</v>
      </c>
      <c r="B323" s="41" t="inlineStr">
        <is>
          <t>K14</t>
        </is>
      </c>
      <c r="C323" s="41" t="inlineStr">
        <is>
          <t>CASA ratio</t>
        </is>
      </c>
      <c r="D323" s="41" t="inlineStr">
        <is>
          <t>deposits</t>
        </is>
      </c>
      <c r="E323" s="41" t="inlineStr">
        <is>
          <t>pct</t>
        </is>
      </c>
      <c r="F323" s="41" t="inlineStr">
        <is>
          <t>higher</t>
        </is>
      </c>
      <c r="G323" s="65" t="n">
        <v>0.8058013305777302</v>
      </c>
    </row>
    <row r="324">
      <c r="A324" s="64" t="n">
        <v>45992</v>
      </c>
      <c r="B324" s="41" t="inlineStr">
        <is>
          <t>K14</t>
        </is>
      </c>
      <c r="C324" s="41" t="inlineStr">
        <is>
          <t>CASA ratio</t>
        </is>
      </c>
      <c r="D324" s="41" t="inlineStr">
        <is>
          <t>deposits</t>
        </is>
      </c>
      <c r="E324" s="41" t="inlineStr">
        <is>
          <t>pct</t>
        </is>
      </c>
      <c r="F324" s="41" t="inlineStr">
        <is>
          <t>higher</t>
        </is>
      </c>
      <c r="G324" s="65" t="n">
        <v>0.7948112496266736</v>
      </c>
    </row>
    <row r="325">
      <c r="A325" s="64" t="n">
        <v>46023</v>
      </c>
      <c r="B325" s="41" t="inlineStr">
        <is>
          <t>K14</t>
        </is>
      </c>
      <c r="C325" s="41" t="inlineStr">
        <is>
          <t>CASA ratio</t>
        </is>
      </c>
      <c r="D325" s="41" t="inlineStr">
        <is>
          <t>deposits</t>
        </is>
      </c>
      <c r="E325" s="41" t="inlineStr">
        <is>
          <t>pct</t>
        </is>
      </c>
      <c r="F325" s="41" t="inlineStr">
        <is>
          <t>higher</t>
        </is>
      </c>
      <c r="G325" s="65" t="n">
        <v>0.7893797902343277</v>
      </c>
    </row>
    <row r="326">
      <c r="A326" s="64" t="n">
        <v>46054</v>
      </c>
      <c r="B326" s="41" t="inlineStr">
        <is>
          <t>K14</t>
        </is>
      </c>
      <c r="C326" s="41" t="inlineStr">
        <is>
          <t>CASA ratio</t>
        </is>
      </c>
      <c r="D326" s="41" t="inlineStr">
        <is>
          <t>deposits</t>
        </is>
      </c>
      <c r="E326" s="41" t="inlineStr">
        <is>
          <t>pct</t>
        </is>
      </c>
      <c r="F326" s="41" t="inlineStr">
        <is>
          <t>higher</t>
        </is>
      </c>
      <c r="G326" s="65" t="n">
        <v>0.7886591343324686</v>
      </c>
    </row>
    <row r="327">
      <c r="A327" s="64" t="n">
        <v>46082</v>
      </c>
      <c r="B327" s="41" t="inlineStr">
        <is>
          <t>K14</t>
        </is>
      </c>
      <c r="C327" s="41" t="inlineStr">
        <is>
          <t>CASA ratio</t>
        </is>
      </c>
      <c r="D327" s="41" t="inlineStr">
        <is>
          <t>deposits</t>
        </is>
      </c>
      <c r="E327" s="41" t="inlineStr">
        <is>
          <t>pct</t>
        </is>
      </c>
      <c r="F327" s="41" t="inlineStr">
        <is>
          <t>higher</t>
        </is>
      </c>
      <c r="G327" s="65" t="n">
        <v>0.7883722518937588</v>
      </c>
    </row>
    <row r="328">
      <c r="A328" s="64" t="n">
        <v>46113</v>
      </c>
      <c r="B328" s="41" t="inlineStr">
        <is>
          <t>K14</t>
        </is>
      </c>
      <c r="C328" s="41" t="inlineStr">
        <is>
          <t>CASA ratio</t>
        </is>
      </c>
      <c r="D328" s="41" t="inlineStr">
        <is>
          <t>deposits</t>
        </is>
      </c>
      <c r="E328" s="41" t="inlineStr">
        <is>
          <t>pct</t>
        </is>
      </c>
      <c r="F328" s="41" t="inlineStr">
        <is>
          <t>higher</t>
        </is>
      </c>
      <c r="G328" s="65" t="n">
        <v>0.7909874051227126</v>
      </c>
    </row>
    <row r="329">
      <c r="A329" s="64" t="n">
        <v>46143</v>
      </c>
      <c r="B329" s="41" t="inlineStr">
        <is>
          <t>K14</t>
        </is>
      </c>
      <c r="C329" s="41" t="inlineStr">
        <is>
          <t>CASA ratio</t>
        </is>
      </c>
      <c r="D329" s="41" t="inlineStr">
        <is>
          <t>deposits</t>
        </is>
      </c>
      <c r="E329" s="41" t="inlineStr">
        <is>
          <t>pct</t>
        </is>
      </c>
      <c r="F329" s="41" t="inlineStr">
        <is>
          <t>higher</t>
        </is>
      </c>
      <c r="G329" s="65" t="n">
        <v>0.7890267769068535</v>
      </c>
    </row>
    <row r="330">
      <c r="A330" s="64" t="n">
        <v>46174</v>
      </c>
      <c r="B330" s="41" t="inlineStr">
        <is>
          <t>K14</t>
        </is>
      </c>
      <c r="C330" s="41" t="inlineStr">
        <is>
          <t>CASA ratio</t>
        </is>
      </c>
      <c r="D330" s="41" t="inlineStr">
        <is>
          <t>deposits</t>
        </is>
      </c>
      <c r="E330" s="41" t="inlineStr">
        <is>
          <t>pct</t>
        </is>
      </c>
      <c r="F330" s="41" t="inlineStr">
        <is>
          <t>higher</t>
        </is>
      </c>
      <c r="G330" s="65" t="n">
        <v>0.7860502471168032</v>
      </c>
    </row>
    <row r="331">
      <c r="A331" s="64" t="n">
        <v>46204</v>
      </c>
      <c r="B331" s="41" t="inlineStr">
        <is>
          <t>K14</t>
        </is>
      </c>
      <c r="C331" s="41" t="inlineStr">
        <is>
          <t>CASA ratio</t>
        </is>
      </c>
      <c r="D331" s="41" t="inlineStr">
        <is>
          <t>deposits</t>
        </is>
      </c>
      <c r="E331" s="41" t="inlineStr">
        <is>
          <t>pct</t>
        </is>
      </c>
      <c r="F331" s="41" t="inlineStr">
        <is>
          <t>higher</t>
        </is>
      </c>
      <c r="G331" s="65" t="n">
        <v>0.7812565803704022</v>
      </c>
    </row>
    <row r="332">
      <c r="A332" s="64" t="n">
        <v>46235</v>
      </c>
      <c r="B332" s="41" t="inlineStr">
        <is>
          <t>K14</t>
        </is>
      </c>
      <c r="C332" s="41" t="inlineStr">
        <is>
          <t>CASA ratio</t>
        </is>
      </c>
      <c r="D332" s="41" t="inlineStr">
        <is>
          <t>deposits</t>
        </is>
      </c>
      <c r="E332" s="41" t="inlineStr">
        <is>
          <t>pct</t>
        </is>
      </c>
      <c r="F332" s="41" t="inlineStr">
        <is>
          <t>higher</t>
        </is>
      </c>
      <c r="G332" s="65" t="n">
        <v>0.7818568889499502</v>
      </c>
    </row>
    <row r="333">
      <c r="A333" s="64" t="n">
        <v>45536</v>
      </c>
      <c r="B333" s="41" t="inlineStr">
        <is>
          <t>K15</t>
        </is>
      </c>
      <c r="C333" s="41" t="inlineStr">
        <is>
          <t>Cost of funds</t>
        </is>
      </c>
      <c r="D333" s="41" t="inlineStr">
        <is>
          <t>deposits</t>
        </is>
      </c>
      <c r="E333" s="41" t="inlineStr">
        <is>
          <t>pct</t>
        </is>
      </c>
      <c r="F333" s="41" t="inlineStr">
        <is>
          <t>lower</t>
        </is>
      </c>
      <c r="G333" s="69" t="n">
        <v>0.02011881724665492</v>
      </c>
    </row>
    <row r="334">
      <c r="A334" s="64" t="n">
        <v>45566</v>
      </c>
      <c r="B334" s="41" t="inlineStr">
        <is>
          <t>K15</t>
        </is>
      </c>
      <c r="C334" s="41" t="inlineStr">
        <is>
          <t>Cost of funds</t>
        </is>
      </c>
      <c r="D334" s="41" t="inlineStr">
        <is>
          <t>deposits</t>
        </is>
      </c>
      <c r="E334" s="41" t="inlineStr">
        <is>
          <t>pct</t>
        </is>
      </c>
      <c r="F334" s="41" t="inlineStr">
        <is>
          <t>lower</t>
        </is>
      </c>
      <c r="G334" s="69" t="n">
        <v>0.02018639148452497</v>
      </c>
    </row>
    <row r="335">
      <c r="A335" s="64" t="n">
        <v>45597</v>
      </c>
      <c r="B335" s="41" t="inlineStr">
        <is>
          <t>K15</t>
        </is>
      </c>
      <c r="C335" s="41" t="inlineStr">
        <is>
          <t>Cost of funds</t>
        </is>
      </c>
      <c r="D335" s="41" t="inlineStr">
        <is>
          <t>deposits</t>
        </is>
      </c>
      <c r="E335" s="41" t="inlineStr">
        <is>
          <t>pct</t>
        </is>
      </c>
      <c r="F335" s="41" t="inlineStr">
        <is>
          <t>lower</t>
        </is>
      </c>
      <c r="G335" s="69" t="n">
        <v>0.02026670966249096</v>
      </c>
    </row>
    <row r="336">
      <c r="A336" s="64" t="n">
        <v>45627</v>
      </c>
      <c r="B336" s="41" t="inlineStr">
        <is>
          <t>K15</t>
        </is>
      </c>
      <c r="C336" s="41" t="inlineStr">
        <is>
          <t>Cost of funds</t>
        </is>
      </c>
      <c r="D336" s="41" t="inlineStr">
        <is>
          <t>deposits</t>
        </is>
      </c>
      <c r="E336" s="41" t="inlineStr">
        <is>
          <t>pct</t>
        </is>
      </c>
      <c r="F336" s="41" t="inlineStr">
        <is>
          <t>lower</t>
        </is>
      </c>
      <c r="G336" s="69" t="n">
        <v>0.02030366581967503</v>
      </c>
    </row>
    <row r="337">
      <c r="A337" s="64" t="n">
        <v>45658</v>
      </c>
      <c r="B337" s="41" t="inlineStr">
        <is>
          <t>K15</t>
        </is>
      </c>
      <c r="C337" s="41" t="inlineStr">
        <is>
          <t>Cost of funds</t>
        </is>
      </c>
      <c r="D337" s="41" t="inlineStr">
        <is>
          <t>deposits</t>
        </is>
      </c>
      <c r="E337" s="41" t="inlineStr">
        <is>
          <t>pct</t>
        </is>
      </c>
      <c r="F337" s="41" t="inlineStr">
        <is>
          <t>lower</t>
        </is>
      </c>
      <c r="G337" s="69" t="n">
        <v>0.02033554734295324</v>
      </c>
    </row>
    <row r="338">
      <c r="A338" s="64" t="n">
        <v>45689</v>
      </c>
      <c r="B338" s="41" t="inlineStr">
        <is>
          <t>K15</t>
        </is>
      </c>
      <c r="C338" s="41" t="inlineStr">
        <is>
          <t>Cost of funds</t>
        </is>
      </c>
      <c r="D338" s="41" t="inlineStr">
        <is>
          <t>deposits</t>
        </is>
      </c>
      <c r="E338" s="41" t="inlineStr">
        <is>
          <t>pct</t>
        </is>
      </c>
      <c r="F338" s="41" t="inlineStr">
        <is>
          <t>lower</t>
        </is>
      </c>
      <c r="G338" s="69" t="n">
        <v>0.02037559060410684</v>
      </c>
    </row>
    <row r="339">
      <c r="A339" s="64" t="n">
        <v>45717</v>
      </c>
      <c r="B339" s="41" t="inlineStr">
        <is>
          <t>K15</t>
        </is>
      </c>
      <c r="C339" s="41" t="inlineStr">
        <is>
          <t>Cost of funds</t>
        </is>
      </c>
      <c r="D339" s="41" t="inlineStr">
        <is>
          <t>deposits</t>
        </is>
      </c>
      <c r="E339" s="41" t="inlineStr">
        <is>
          <t>pct</t>
        </is>
      </c>
      <c r="F339" s="41" t="inlineStr">
        <is>
          <t>lower</t>
        </is>
      </c>
      <c r="G339" s="69" t="n">
        <v>0.02196099277748837</v>
      </c>
    </row>
    <row r="340">
      <c r="A340" s="64" t="n">
        <v>45748</v>
      </c>
      <c r="B340" s="41" t="inlineStr">
        <is>
          <t>K15</t>
        </is>
      </c>
      <c r="C340" s="41" t="inlineStr">
        <is>
          <t>Cost of funds</t>
        </is>
      </c>
      <c r="D340" s="41" t="inlineStr">
        <is>
          <t>deposits</t>
        </is>
      </c>
      <c r="E340" s="41" t="inlineStr">
        <is>
          <t>pct</t>
        </is>
      </c>
      <c r="F340" s="41" t="inlineStr">
        <is>
          <t>lower</t>
        </is>
      </c>
      <c r="G340" s="69" t="n">
        <v>0.02437544005091933</v>
      </c>
    </row>
    <row r="341">
      <c r="A341" s="64" t="n">
        <v>45778</v>
      </c>
      <c r="B341" s="41" t="inlineStr">
        <is>
          <t>K15</t>
        </is>
      </c>
      <c r="C341" s="41" t="inlineStr">
        <is>
          <t>Cost of funds</t>
        </is>
      </c>
      <c r="D341" s="41" t="inlineStr">
        <is>
          <t>deposits</t>
        </is>
      </c>
      <c r="E341" s="41" t="inlineStr">
        <is>
          <t>pct</t>
        </is>
      </c>
      <c r="F341" s="41" t="inlineStr">
        <is>
          <t>lower</t>
        </is>
      </c>
      <c r="G341" s="69" t="n">
        <v>0.02584869517671008</v>
      </c>
    </row>
    <row r="342">
      <c r="A342" s="64" t="n">
        <v>45809</v>
      </c>
      <c r="B342" s="41" t="inlineStr">
        <is>
          <t>K15</t>
        </is>
      </c>
      <c r="C342" s="41" t="inlineStr">
        <is>
          <t>Cost of funds</t>
        </is>
      </c>
      <c r="D342" s="41" t="inlineStr">
        <is>
          <t>deposits</t>
        </is>
      </c>
      <c r="E342" s="41" t="inlineStr">
        <is>
          <t>pct</t>
        </is>
      </c>
      <c r="F342" s="41" t="inlineStr">
        <is>
          <t>lower</t>
        </is>
      </c>
      <c r="G342" s="69" t="n">
        <v>0.02595876421242866</v>
      </c>
    </row>
    <row r="343">
      <c r="A343" s="64" t="n">
        <v>45839</v>
      </c>
      <c r="B343" s="41" t="inlineStr">
        <is>
          <t>K15</t>
        </is>
      </c>
      <c r="C343" s="41" t="inlineStr">
        <is>
          <t>Cost of funds</t>
        </is>
      </c>
      <c r="D343" s="41" t="inlineStr">
        <is>
          <t>deposits</t>
        </is>
      </c>
      <c r="E343" s="41" t="inlineStr">
        <is>
          <t>pct</t>
        </is>
      </c>
      <c r="F343" s="41" t="inlineStr">
        <is>
          <t>lower</t>
        </is>
      </c>
      <c r="G343" s="69" t="n">
        <v>0.02531166733190231</v>
      </c>
    </row>
    <row r="344">
      <c r="A344" s="64" t="n">
        <v>45870</v>
      </c>
      <c r="B344" s="41" t="inlineStr">
        <is>
          <t>K15</t>
        </is>
      </c>
      <c r="C344" s="41" t="inlineStr">
        <is>
          <t>Cost of funds</t>
        </is>
      </c>
      <c r="D344" s="41" t="inlineStr">
        <is>
          <t>deposits</t>
        </is>
      </c>
      <c r="E344" s="41" t="inlineStr">
        <is>
          <t>pct</t>
        </is>
      </c>
      <c r="F344" s="41" t="inlineStr">
        <is>
          <t>lower</t>
        </is>
      </c>
      <c r="G344" s="69" t="n">
        <v>0.02374987581970434</v>
      </c>
    </row>
    <row r="345">
      <c r="A345" s="64" t="n">
        <v>45901</v>
      </c>
      <c r="B345" s="41" t="inlineStr">
        <is>
          <t>K15</t>
        </is>
      </c>
      <c r="C345" s="41" t="inlineStr">
        <is>
          <t>Cost of funds</t>
        </is>
      </c>
      <c r="D345" s="41" t="inlineStr">
        <is>
          <t>deposits</t>
        </is>
      </c>
      <c r="E345" s="41" t="inlineStr">
        <is>
          <t>pct</t>
        </is>
      </c>
      <c r="F345" s="41" t="inlineStr">
        <is>
          <t>lower</t>
        </is>
      </c>
      <c r="G345" s="69" t="n">
        <v>0.0227195407873217</v>
      </c>
    </row>
    <row r="346">
      <c r="A346" s="64" t="n">
        <v>45931</v>
      </c>
      <c r="B346" s="41" t="inlineStr">
        <is>
          <t>K15</t>
        </is>
      </c>
      <c r="C346" s="41" t="inlineStr">
        <is>
          <t>Cost of funds</t>
        </is>
      </c>
      <c r="D346" s="41" t="inlineStr">
        <is>
          <t>deposits</t>
        </is>
      </c>
      <c r="E346" s="41" t="inlineStr">
        <is>
          <t>pct</t>
        </is>
      </c>
      <c r="F346" s="41" t="inlineStr">
        <is>
          <t>lower</t>
        </is>
      </c>
      <c r="G346" s="69" t="n">
        <v>0.02116497585485342</v>
      </c>
    </row>
    <row r="347">
      <c r="A347" s="64" t="n">
        <v>45962</v>
      </c>
      <c r="B347" s="41" t="inlineStr">
        <is>
          <t>K15</t>
        </is>
      </c>
      <c r="C347" s="41" t="inlineStr">
        <is>
          <t>Cost of funds</t>
        </is>
      </c>
      <c r="D347" s="41" t="inlineStr">
        <is>
          <t>deposits</t>
        </is>
      </c>
      <c r="E347" s="41" t="inlineStr">
        <is>
          <t>pct</t>
        </is>
      </c>
      <c r="F347" s="41" t="inlineStr">
        <is>
          <t>lower</t>
        </is>
      </c>
      <c r="G347" s="69" t="n">
        <v>0.01982918195633027</v>
      </c>
    </row>
    <row r="348">
      <c r="A348" s="64" t="n">
        <v>45992</v>
      </c>
      <c r="B348" s="41" t="inlineStr">
        <is>
          <t>K15</t>
        </is>
      </c>
      <c r="C348" s="41" t="inlineStr">
        <is>
          <t>Cost of funds</t>
        </is>
      </c>
      <c r="D348" s="41" t="inlineStr">
        <is>
          <t>deposits</t>
        </is>
      </c>
      <c r="E348" s="41" t="inlineStr">
        <is>
          <t>pct</t>
        </is>
      </c>
      <c r="F348" s="41" t="inlineStr">
        <is>
          <t>lower</t>
        </is>
      </c>
      <c r="G348" s="69" t="n">
        <v>0.01930502480220698</v>
      </c>
    </row>
    <row r="349">
      <c r="A349" s="64" t="n">
        <v>46023</v>
      </c>
      <c r="B349" s="41" t="inlineStr">
        <is>
          <t>K15</t>
        </is>
      </c>
      <c r="C349" s="41" t="inlineStr">
        <is>
          <t>Cost of funds</t>
        </is>
      </c>
      <c r="D349" s="41" t="inlineStr">
        <is>
          <t>deposits</t>
        </is>
      </c>
      <c r="E349" s="41" t="inlineStr">
        <is>
          <t>pct</t>
        </is>
      </c>
      <c r="F349" s="41" t="inlineStr">
        <is>
          <t>lower</t>
        </is>
      </c>
      <c r="G349" s="69" t="n">
        <v>0.01932289377964965</v>
      </c>
    </row>
    <row r="350">
      <c r="A350" s="64" t="n">
        <v>46054</v>
      </c>
      <c r="B350" s="41" t="inlineStr">
        <is>
          <t>K15</t>
        </is>
      </c>
      <c r="C350" s="41" t="inlineStr">
        <is>
          <t>Cost of funds</t>
        </is>
      </c>
      <c r="D350" s="41" t="inlineStr">
        <is>
          <t>deposits</t>
        </is>
      </c>
      <c r="E350" s="41" t="inlineStr">
        <is>
          <t>pct</t>
        </is>
      </c>
      <c r="F350" s="41" t="inlineStr">
        <is>
          <t>lower</t>
        </is>
      </c>
      <c r="G350" s="69" t="n">
        <v>0.01932338383409271</v>
      </c>
    </row>
    <row r="351">
      <c r="A351" s="64" t="n">
        <v>46082</v>
      </c>
      <c r="B351" s="41" t="inlineStr">
        <is>
          <t>K15</t>
        </is>
      </c>
      <c r="C351" s="41" t="inlineStr">
        <is>
          <t>Cost of funds</t>
        </is>
      </c>
      <c r="D351" s="41" t="inlineStr">
        <is>
          <t>deposits</t>
        </is>
      </c>
      <c r="E351" s="41" t="inlineStr">
        <is>
          <t>pct</t>
        </is>
      </c>
      <c r="F351" s="41" t="inlineStr">
        <is>
          <t>lower</t>
        </is>
      </c>
      <c r="G351" s="69" t="n">
        <v>0.01932568025242746</v>
      </c>
    </row>
    <row r="352">
      <c r="A352" s="64" t="n">
        <v>46113</v>
      </c>
      <c r="B352" s="41" t="inlineStr">
        <is>
          <t>K15</t>
        </is>
      </c>
      <c r="C352" s="41" t="inlineStr">
        <is>
          <t>Cost of funds</t>
        </is>
      </c>
      <c r="D352" s="41" t="inlineStr">
        <is>
          <t>deposits</t>
        </is>
      </c>
      <c r="E352" s="41" t="inlineStr">
        <is>
          <t>pct</t>
        </is>
      </c>
      <c r="F352" s="41" t="inlineStr">
        <is>
          <t>lower</t>
        </is>
      </c>
      <c r="G352" s="69" t="n">
        <v>0.01932883902584432</v>
      </c>
    </row>
    <row r="353">
      <c r="A353" s="64" t="n">
        <v>46143</v>
      </c>
      <c r="B353" s="41" t="inlineStr">
        <is>
          <t>K15</t>
        </is>
      </c>
      <c r="C353" s="41" t="inlineStr">
        <is>
          <t>Cost of funds</t>
        </is>
      </c>
      <c r="D353" s="41" t="inlineStr">
        <is>
          <t>deposits</t>
        </is>
      </c>
      <c r="E353" s="41" t="inlineStr">
        <is>
          <t>pct</t>
        </is>
      </c>
      <c r="F353" s="41" t="inlineStr">
        <is>
          <t>lower</t>
        </is>
      </c>
      <c r="G353" s="69" t="n">
        <v>0.01933476036045687</v>
      </c>
    </row>
    <row r="354">
      <c r="A354" s="64" t="n">
        <v>46174</v>
      </c>
      <c r="B354" s="41" t="inlineStr">
        <is>
          <t>K15</t>
        </is>
      </c>
      <c r="C354" s="41" t="inlineStr">
        <is>
          <t>Cost of funds</t>
        </is>
      </c>
      <c r="D354" s="41" t="inlineStr">
        <is>
          <t>deposits</t>
        </is>
      </c>
      <c r="E354" s="41" t="inlineStr">
        <is>
          <t>pct</t>
        </is>
      </c>
      <c r="F354" s="41" t="inlineStr">
        <is>
          <t>lower</t>
        </is>
      </c>
      <c r="G354" s="69" t="n">
        <v>0.01934131563529891</v>
      </c>
    </row>
    <row r="355">
      <c r="A355" s="64" t="n">
        <v>46204</v>
      </c>
      <c r="B355" s="41" t="inlineStr">
        <is>
          <t>K15</t>
        </is>
      </c>
      <c r="C355" s="41" t="inlineStr">
        <is>
          <t>Cost of funds</t>
        </is>
      </c>
      <c r="D355" s="41" t="inlineStr">
        <is>
          <t>deposits</t>
        </is>
      </c>
      <c r="E355" s="41" t="inlineStr">
        <is>
          <t>pct</t>
        </is>
      </c>
      <c r="F355" s="41" t="inlineStr">
        <is>
          <t>lower</t>
        </is>
      </c>
      <c r="G355" s="69" t="n">
        <v>0.01934716916517187</v>
      </c>
    </row>
    <row r="356">
      <c r="A356" s="64" t="n">
        <v>46235</v>
      </c>
      <c r="B356" s="41" t="inlineStr">
        <is>
          <t>K15</t>
        </is>
      </c>
      <c r="C356" s="41" t="inlineStr">
        <is>
          <t>Cost of funds</t>
        </is>
      </c>
      <c r="D356" s="41" t="inlineStr">
        <is>
          <t>deposits</t>
        </is>
      </c>
      <c r="E356" s="41" t="inlineStr">
        <is>
          <t>pct</t>
        </is>
      </c>
      <c r="F356" s="41" t="inlineStr">
        <is>
          <t>lower</t>
        </is>
      </c>
      <c r="G356" s="69" t="n">
        <v>0.0193512818279305</v>
      </c>
    </row>
    <row r="357">
      <c r="A357" s="64" t="n">
        <v>45717</v>
      </c>
      <c r="B357" s="41" t="inlineStr">
        <is>
          <t>K16</t>
        </is>
      </c>
      <c r="C357" s="41" t="inlineStr">
        <is>
          <t>FD retention at maturity</t>
        </is>
      </c>
      <c r="D357" s="41" t="inlineStr">
        <is>
          <t>deposits</t>
        </is>
      </c>
      <c r="E357" s="41" t="inlineStr">
        <is>
          <t>pct</t>
        </is>
      </c>
      <c r="F357" s="41" t="inlineStr">
        <is>
          <t>higher</t>
        </is>
      </c>
      <c r="G357" s="65" t="n">
        <v>1</v>
      </c>
    </row>
    <row r="358">
      <c r="A358" s="64" t="n">
        <v>45748</v>
      </c>
      <c r="B358" s="41" t="inlineStr">
        <is>
          <t>K16</t>
        </is>
      </c>
      <c r="C358" s="41" t="inlineStr">
        <is>
          <t>FD retention at maturity</t>
        </is>
      </c>
      <c r="D358" s="41" t="inlineStr">
        <is>
          <t>deposits</t>
        </is>
      </c>
      <c r="E358" s="41" t="inlineStr">
        <is>
          <t>pct</t>
        </is>
      </c>
      <c r="F358" s="41" t="inlineStr">
        <is>
          <t>higher</t>
        </is>
      </c>
      <c r="G358" s="65" t="n">
        <v>0.9259465777210251</v>
      </c>
    </row>
    <row r="359">
      <c r="A359" s="64" t="n">
        <v>45778</v>
      </c>
      <c r="B359" s="41" t="inlineStr">
        <is>
          <t>K16</t>
        </is>
      </c>
      <c r="C359" s="41" t="inlineStr">
        <is>
          <t>FD retention at maturity</t>
        </is>
      </c>
      <c r="D359" s="41" t="inlineStr">
        <is>
          <t>deposits</t>
        </is>
      </c>
      <c r="E359" s="41" t="inlineStr">
        <is>
          <t>pct</t>
        </is>
      </c>
      <c r="F359" s="41" t="inlineStr">
        <is>
          <t>higher</t>
        </is>
      </c>
      <c r="G359" s="65" t="n">
        <v>0.9593770677858727</v>
      </c>
    </row>
    <row r="360">
      <c r="A360" s="64" t="n">
        <v>45809</v>
      </c>
      <c r="B360" s="41" t="inlineStr">
        <is>
          <t>K16</t>
        </is>
      </c>
      <c r="C360" s="41" t="inlineStr">
        <is>
          <t>FD retention at maturity</t>
        </is>
      </c>
      <c r="D360" s="41" t="inlineStr">
        <is>
          <t>deposits</t>
        </is>
      </c>
      <c r="E360" s="41" t="inlineStr">
        <is>
          <t>pct</t>
        </is>
      </c>
      <c r="F360" s="41" t="inlineStr">
        <is>
          <t>higher</t>
        </is>
      </c>
      <c r="G360" s="65" t="n">
        <v>0.7142032996547318</v>
      </c>
    </row>
    <row r="361">
      <c r="A361" s="64" t="n">
        <v>45839</v>
      </c>
      <c r="B361" s="41" t="inlineStr">
        <is>
          <t>K16</t>
        </is>
      </c>
      <c r="C361" s="41" t="inlineStr">
        <is>
          <t>FD retention at maturity</t>
        </is>
      </c>
      <c r="D361" s="41" t="inlineStr">
        <is>
          <t>deposits</t>
        </is>
      </c>
      <c r="E361" s="41" t="inlineStr">
        <is>
          <t>pct</t>
        </is>
      </c>
      <c r="F361" s="41" t="inlineStr">
        <is>
          <t>higher</t>
        </is>
      </c>
      <c r="G361" s="65" t="n">
        <v>0.7349714059775808</v>
      </c>
    </row>
    <row r="362">
      <c r="A362" s="64" t="n">
        <v>45870</v>
      </c>
      <c r="B362" s="41" t="inlineStr">
        <is>
          <t>K16</t>
        </is>
      </c>
      <c r="C362" s="41" t="inlineStr">
        <is>
          <t>FD retention at maturity</t>
        </is>
      </c>
      <c r="D362" s="41" t="inlineStr">
        <is>
          <t>deposits</t>
        </is>
      </c>
      <c r="E362" s="41" t="inlineStr">
        <is>
          <t>pct</t>
        </is>
      </c>
      <c r="F362" s="41" t="inlineStr">
        <is>
          <t>higher</t>
        </is>
      </c>
      <c r="G362" s="65" t="n">
        <v>0.8685233197067245</v>
      </c>
    </row>
    <row r="363">
      <c r="A363" s="64" t="n">
        <v>45901</v>
      </c>
      <c r="B363" s="41" t="inlineStr">
        <is>
          <t>K16</t>
        </is>
      </c>
      <c r="C363" s="41" t="inlineStr">
        <is>
          <t>FD retention at maturity</t>
        </is>
      </c>
      <c r="D363" s="41" t="inlineStr">
        <is>
          <t>deposits</t>
        </is>
      </c>
      <c r="E363" s="41" t="inlineStr">
        <is>
          <t>pct</t>
        </is>
      </c>
      <c r="F363" s="41" t="inlineStr">
        <is>
          <t>higher</t>
        </is>
      </c>
      <c r="G363" s="65" t="n">
        <v>0.6268751729968688</v>
      </c>
    </row>
    <row r="364">
      <c r="A364" s="64" t="n">
        <v>45931</v>
      </c>
      <c r="B364" s="41" t="inlineStr">
        <is>
          <t>K16</t>
        </is>
      </c>
      <c r="C364" s="41" t="inlineStr">
        <is>
          <t>FD retention at maturity</t>
        </is>
      </c>
      <c r="D364" s="41" t="inlineStr">
        <is>
          <t>deposits</t>
        </is>
      </c>
      <c r="E364" s="41" t="inlineStr">
        <is>
          <t>pct</t>
        </is>
      </c>
      <c r="F364" s="41" t="inlineStr">
        <is>
          <t>higher</t>
        </is>
      </c>
      <c r="G364" s="65" t="n">
        <v>0.5533009064258502</v>
      </c>
    </row>
    <row r="365">
      <c r="A365" s="64" t="n">
        <v>45962</v>
      </c>
      <c r="B365" s="41" t="inlineStr">
        <is>
          <t>K16</t>
        </is>
      </c>
      <c r="C365" s="41" t="inlineStr">
        <is>
          <t>FD retention at maturity</t>
        </is>
      </c>
      <c r="D365" s="41" t="inlineStr">
        <is>
          <t>deposits</t>
        </is>
      </c>
      <c r="E365" s="41" t="inlineStr">
        <is>
          <t>pct</t>
        </is>
      </c>
      <c r="F365" s="41" t="inlineStr">
        <is>
          <t>higher</t>
        </is>
      </c>
      <c r="G365" s="65" t="n">
        <v>0.606324616058968</v>
      </c>
    </row>
    <row r="366">
      <c r="A366" s="64" t="n">
        <v>45992</v>
      </c>
      <c r="B366" s="41" t="inlineStr">
        <is>
          <t>K16</t>
        </is>
      </c>
      <c r="C366" s="41" t="inlineStr">
        <is>
          <t>FD retention at maturity</t>
        </is>
      </c>
      <c r="D366" s="41" t="inlineStr">
        <is>
          <t>deposits</t>
        </is>
      </c>
      <c r="E366" s="41" t="inlineStr">
        <is>
          <t>pct</t>
        </is>
      </c>
      <c r="F366" s="41" t="inlineStr">
        <is>
          <t>higher</t>
        </is>
      </c>
      <c r="G366" s="65" t="n">
        <v>0.8049776471629296</v>
      </c>
    </row>
    <row r="367">
      <c r="A367" s="64" t="n">
        <v>46023</v>
      </c>
      <c r="B367" s="41" t="inlineStr">
        <is>
          <t>K16</t>
        </is>
      </c>
      <c r="C367" s="41" t="inlineStr">
        <is>
          <t>FD retention at maturity</t>
        </is>
      </c>
      <c r="D367" s="41" t="inlineStr">
        <is>
          <t>deposits</t>
        </is>
      </c>
      <c r="E367" s="41" t="inlineStr">
        <is>
          <t>pct</t>
        </is>
      </c>
      <c r="F367" s="41" t="inlineStr">
        <is>
          <t>higher</t>
        </is>
      </c>
      <c r="G367" s="65" t="n">
        <v>0.851358728703968</v>
      </c>
    </row>
    <row r="368">
      <c r="A368" s="64" t="n">
        <v>46054</v>
      </c>
      <c r="B368" s="41" t="inlineStr">
        <is>
          <t>K16</t>
        </is>
      </c>
      <c r="C368" s="41" t="inlineStr">
        <is>
          <t>FD retention at maturity</t>
        </is>
      </c>
      <c r="D368" s="41" t="inlineStr">
        <is>
          <t>deposits</t>
        </is>
      </c>
      <c r="E368" s="41" t="inlineStr">
        <is>
          <t>pct</t>
        </is>
      </c>
      <c r="F368" s="41" t="inlineStr">
        <is>
          <t>higher</t>
        </is>
      </c>
      <c r="G368" s="65" t="n">
        <v>0.9033199350821319</v>
      </c>
    </row>
    <row r="369">
      <c r="A369" s="64" t="n">
        <v>46082</v>
      </c>
      <c r="B369" s="41" t="inlineStr">
        <is>
          <t>K16</t>
        </is>
      </c>
      <c r="C369" s="41" t="inlineStr">
        <is>
          <t>FD retention at maturity</t>
        </is>
      </c>
      <c r="D369" s="41" t="inlineStr">
        <is>
          <t>deposits</t>
        </is>
      </c>
      <c r="E369" s="41" t="inlineStr">
        <is>
          <t>pct</t>
        </is>
      </c>
      <c r="F369" s="41" t="inlineStr">
        <is>
          <t>higher</t>
        </is>
      </c>
      <c r="G369" s="65" t="n">
        <v>0.8680377097856603</v>
      </c>
    </row>
    <row r="370">
      <c r="A370" s="64" t="n">
        <v>46113</v>
      </c>
      <c r="B370" s="41" t="inlineStr">
        <is>
          <t>K16</t>
        </is>
      </c>
      <c r="C370" s="41" t="inlineStr">
        <is>
          <t>FD retention at maturity</t>
        </is>
      </c>
      <c r="D370" s="41" t="inlineStr">
        <is>
          <t>deposits</t>
        </is>
      </c>
      <c r="E370" s="41" t="inlineStr">
        <is>
          <t>pct</t>
        </is>
      </c>
      <c r="F370" s="41" t="inlineStr">
        <is>
          <t>higher</t>
        </is>
      </c>
      <c r="G370" s="65" t="n">
        <v>0.8120262811724694</v>
      </c>
    </row>
    <row r="371">
      <c r="A371" s="64" t="n">
        <v>46143</v>
      </c>
      <c r="B371" s="41" t="inlineStr">
        <is>
          <t>K16</t>
        </is>
      </c>
      <c r="C371" s="41" t="inlineStr">
        <is>
          <t>FD retention at maturity</t>
        </is>
      </c>
      <c r="D371" s="41" t="inlineStr">
        <is>
          <t>deposits</t>
        </is>
      </c>
      <c r="E371" s="41" t="inlineStr">
        <is>
          <t>pct</t>
        </is>
      </c>
      <c r="F371" s="41" t="inlineStr">
        <is>
          <t>higher</t>
        </is>
      </c>
      <c r="G371" s="65" t="n">
        <v>0.871582186977774</v>
      </c>
    </row>
    <row r="372">
      <c r="A372" s="64" t="n">
        <v>46174</v>
      </c>
      <c r="B372" s="41" t="inlineStr">
        <is>
          <t>K16</t>
        </is>
      </c>
      <c r="C372" s="41" t="inlineStr">
        <is>
          <t>FD retention at maturity</t>
        </is>
      </c>
      <c r="D372" s="41" t="inlineStr">
        <is>
          <t>deposits</t>
        </is>
      </c>
      <c r="E372" s="41" t="inlineStr">
        <is>
          <t>pct</t>
        </is>
      </c>
      <c r="F372" s="41" t="inlineStr">
        <is>
          <t>higher</t>
        </is>
      </c>
      <c r="G372" s="65" t="n">
        <v>0.8105570155260531</v>
      </c>
    </row>
    <row r="373">
      <c r="A373" s="64" t="n">
        <v>46204</v>
      </c>
      <c r="B373" s="41" t="inlineStr">
        <is>
          <t>K16</t>
        </is>
      </c>
      <c r="C373" s="41" t="inlineStr">
        <is>
          <t>FD retention at maturity</t>
        </is>
      </c>
      <c r="D373" s="41" t="inlineStr">
        <is>
          <t>deposits</t>
        </is>
      </c>
      <c r="E373" s="41" t="inlineStr">
        <is>
          <t>pct</t>
        </is>
      </c>
      <c r="F373" s="41" t="inlineStr">
        <is>
          <t>higher</t>
        </is>
      </c>
      <c r="G373" s="65" t="n">
        <v>0.8259185909830401</v>
      </c>
    </row>
    <row r="374">
      <c r="A374" s="64" t="n">
        <v>46235</v>
      </c>
      <c r="B374" s="41" t="inlineStr">
        <is>
          <t>K16</t>
        </is>
      </c>
      <c r="C374" s="41" t="inlineStr">
        <is>
          <t>FD retention at maturity</t>
        </is>
      </c>
      <c r="D374" s="41" t="inlineStr">
        <is>
          <t>deposits</t>
        </is>
      </c>
      <c r="E374" s="41" t="inlineStr">
        <is>
          <t>pct</t>
        </is>
      </c>
      <c r="F374" s="41" t="inlineStr">
        <is>
          <t>higher</t>
        </is>
      </c>
      <c r="G374" s="65" t="n">
        <v>0.8380917835072256</v>
      </c>
    </row>
    <row r="375">
      <c r="A375" s="64" t="n">
        <v>45658</v>
      </c>
      <c r="B375" s="41" t="inlineStr">
        <is>
          <t>K17</t>
        </is>
      </c>
      <c r="C375" s="41" t="inlineStr">
        <is>
          <t>Gross loans</t>
        </is>
      </c>
      <c r="D375" s="41" t="inlineStr">
        <is>
          <t>credit</t>
        </is>
      </c>
      <c r="E375" s="41" t="inlineStr">
        <is>
          <t>rm</t>
        </is>
      </c>
      <c r="F375" s="41" t="inlineStr">
        <is>
          <t>higher</t>
        </is>
      </c>
      <c r="G375" s="68" t="n">
        <v>1988000</v>
      </c>
    </row>
    <row r="376">
      <c r="A376" s="64" t="n">
        <v>45689</v>
      </c>
      <c r="B376" s="41" t="inlineStr">
        <is>
          <t>K17</t>
        </is>
      </c>
      <c r="C376" s="41" t="inlineStr">
        <is>
          <t>Gross loans</t>
        </is>
      </c>
      <c r="D376" s="41" t="inlineStr">
        <is>
          <t>credit</t>
        </is>
      </c>
      <c r="E376" s="41" t="inlineStr">
        <is>
          <t>rm</t>
        </is>
      </c>
      <c r="F376" s="41" t="inlineStr">
        <is>
          <t>higher</t>
        </is>
      </c>
      <c r="G376" s="68" t="n">
        <v>4594927.24</v>
      </c>
    </row>
    <row r="377">
      <c r="A377" s="64" t="n">
        <v>45717</v>
      </c>
      <c r="B377" s="41" t="inlineStr">
        <is>
          <t>K17</t>
        </is>
      </c>
      <c r="C377" s="41" t="inlineStr">
        <is>
          <t>Gross loans</t>
        </is>
      </c>
      <c r="D377" s="41" t="inlineStr">
        <is>
          <t>credit</t>
        </is>
      </c>
      <c r="E377" s="41" t="inlineStr">
        <is>
          <t>rm</t>
        </is>
      </c>
      <c r="F377" s="41" t="inlineStr">
        <is>
          <t>higher</t>
        </is>
      </c>
      <c r="G377" s="68" t="n">
        <v>6250649.53</v>
      </c>
    </row>
    <row r="378">
      <c r="A378" s="64" t="n">
        <v>45748</v>
      </c>
      <c r="B378" s="41" t="inlineStr">
        <is>
          <t>K17</t>
        </is>
      </c>
      <c r="C378" s="41" t="inlineStr">
        <is>
          <t>Gross loans</t>
        </is>
      </c>
      <c r="D378" s="41" t="inlineStr">
        <is>
          <t>credit</t>
        </is>
      </c>
      <c r="E378" s="41" t="inlineStr">
        <is>
          <t>rm</t>
        </is>
      </c>
      <c r="F378" s="41" t="inlineStr">
        <is>
          <t>higher</t>
        </is>
      </c>
      <c r="G378" s="68" t="n">
        <v>8392467.949999999</v>
      </c>
    </row>
    <row r="379">
      <c r="A379" s="64" t="n">
        <v>45778</v>
      </c>
      <c r="B379" s="41" t="inlineStr">
        <is>
          <t>K17</t>
        </is>
      </c>
      <c r="C379" s="41" t="inlineStr">
        <is>
          <t>Gross loans</t>
        </is>
      </c>
      <c r="D379" s="41" t="inlineStr">
        <is>
          <t>credit</t>
        </is>
      </c>
      <c r="E379" s="41" t="inlineStr">
        <is>
          <t>rm</t>
        </is>
      </c>
      <c r="F379" s="41" t="inlineStr">
        <is>
          <t>higher</t>
        </is>
      </c>
      <c r="G379" s="68" t="n">
        <v>9821251.16</v>
      </c>
    </row>
    <row r="380">
      <c r="A380" s="64" t="n">
        <v>45809</v>
      </c>
      <c r="B380" s="41" t="inlineStr">
        <is>
          <t>K17</t>
        </is>
      </c>
      <c r="C380" s="41" t="inlineStr">
        <is>
          <t>Gross loans</t>
        </is>
      </c>
      <c r="D380" s="41" t="inlineStr">
        <is>
          <t>credit</t>
        </is>
      </c>
      <c r="E380" s="41" t="inlineStr">
        <is>
          <t>rm</t>
        </is>
      </c>
      <c r="F380" s="41" t="inlineStr">
        <is>
          <t>higher</t>
        </is>
      </c>
      <c r="G380" s="68" t="n">
        <v>12045083.4</v>
      </c>
    </row>
    <row r="381">
      <c r="A381" s="64" t="n">
        <v>45839</v>
      </c>
      <c r="B381" s="41" t="inlineStr">
        <is>
          <t>K17</t>
        </is>
      </c>
      <c r="C381" s="41" t="inlineStr">
        <is>
          <t>Gross loans</t>
        </is>
      </c>
      <c r="D381" s="41" t="inlineStr">
        <is>
          <t>credit</t>
        </is>
      </c>
      <c r="E381" s="41" t="inlineStr">
        <is>
          <t>rm</t>
        </is>
      </c>
      <c r="F381" s="41" t="inlineStr">
        <is>
          <t>higher</t>
        </is>
      </c>
      <c r="G381" s="68" t="n">
        <v>16090821.29</v>
      </c>
    </row>
    <row r="382">
      <c r="A382" s="64" t="n">
        <v>45870</v>
      </c>
      <c r="B382" s="41" t="inlineStr">
        <is>
          <t>K17</t>
        </is>
      </c>
      <c r="C382" s="41" t="inlineStr">
        <is>
          <t>Gross loans</t>
        </is>
      </c>
      <c r="D382" s="41" t="inlineStr">
        <is>
          <t>credit</t>
        </is>
      </c>
      <c r="E382" s="41" t="inlineStr">
        <is>
          <t>rm</t>
        </is>
      </c>
      <c r="F382" s="41" t="inlineStr">
        <is>
          <t>higher</t>
        </is>
      </c>
      <c r="G382" s="68" t="n">
        <v>19902043.76</v>
      </c>
    </row>
    <row r="383">
      <c r="A383" s="64" t="n">
        <v>45901</v>
      </c>
      <c r="B383" s="41" t="inlineStr">
        <is>
          <t>K17</t>
        </is>
      </c>
      <c r="C383" s="41" t="inlineStr">
        <is>
          <t>Gross loans</t>
        </is>
      </c>
      <c r="D383" s="41" t="inlineStr">
        <is>
          <t>credit</t>
        </is>
      </c>
      <c r="E383" s="41" t="inlineStr">
        <is>
          <t>rm</t>
        </is>
      </c>
      <c r="F383" s="41" t="inlineStr">
        <is>
          <t>higher</t>
        </is>
      </c>
      <c r="G383" s="68" t="n">
        <v>23532976.04</v>
      </c>
    </row>
    <row r="384">
      <c r="A384" s="64" t="n">
        <v>45931</v>
      </c>
      <c r="B384" s="41" t="inlineStr">
        <is>
          <t>K17</t>
        </is>
      </c>
      <c r="C384" s="41" t="inlineStr">
        <is>
          <t>Gross loans</t>
        </is>
      </c>
      <c r="D384" s="41" t="inlineStr">
        <is>
          <t>credit</t>
        </is>
      </c>
      <c r="E384" s="41" t="inlineStr">
        <is>
          <t>rm</t>
        </is>
      </c>
      <c r="F384" s="41" t="inlineStr">
        <is>
          <t>higher</t>
        </is>
      </c>
      <c r="G384" s="68" t="n">
        <v>27793884.39</v>
      </c>
    </row>
    <row r="385">
      <c r="A385" s="64" t="n">
        <v>45962</v>
      </c>
      <c r="B385" s="41" t="inlineStr">
        <is>
          <t>K17</t>
        </is>
      </c>
      <c r="C385" s="41" t="inlineStr">
        <is>
          <t>Gross loans</t>
        </is>
      </c>
      <c r="D385" s="41" t="inlineStr">
        <is>
          <t>credit</t>
        </is>
      </c>
      <c r="E385" s="41" t="inlineStr">
        <is>
          <t>rm</t>
        </is>
      </c>
      <c r="F385" s="41" t="inlineStr">
        <is>
          <t>higher</t>
        </is>
      </c>
      <c r="G385" s="68" t="n">
        <v>31976978.38</v>
      </c>
    </row>
    <row r="386">
      <c r="A386" s="64" t="n">
        <v>45992</v>
      </c>
      <c r="B386" s="41" t="inlineStr">
        <is>
          <t>K17</t>
        </is>
      </c>
      <c r="C386" s="41" t="inlineStr">
        <is>
          <t>Gross loans</t>
        </is>
      </c>
      <c r="D386" s="41" t="inlineStr">
        <is>
          <t>credit</t>
        </is>
      </c>
      <c r="E386" s="41" t="inlineStr">
        <is>
          <t>rm</t>
        </is>
      </c>
      <c r="F386" s="41" t="inlineStr">
        <is>
          <t>higher</t>
        </is>
      </c>
      <c r="G386" s="68" t="n">
        <v>35948863.95</v>
      </c>
    </row>
    <row r="387">
      <c r="A387" s="64" t="n">
        <v>46023</v>
      </c>
      <c r="B387" s="41" t="inlineStr">
        <is>
          <t>K17</t>
        </is>
      </c>
      <c r="C387" s="41" t="inlineStr">
        <is>
          <t>Gross loans</t>
        </is>
      </c>
      <c r="D387" s="41" t="inlineStr">
        <is>
          <t>credit</t>
        </is>
      </c>
      <c r="E387" s="41" t="inlineStr">
        <is>
          <t>rm</t>
        </is>
      </c>
      <c r="F387" s="41" t="inlineStr">
        <is>
          <t>higher</t>
        </is>
      </c>
      <c r="G387" s="68" t="n">
        <v>37756560.8</v>
      </c>
    </row>
    <row r="388">
      <c r="A388" s="64" t="n">
        <v>46054</v>
      </c>
      <c r="B388" s="41" t="inlineStr">
        <is>
          <t>K17</t>
        </is>
      </c>
      <c r="C388" s="41" t="inlineStr">
        <is>
          <t>Gross loans</t>
        </is>
      </c>
      <c r="D388" s="41" t="inlineStr">
        <is>
          <t>credit</t>
        </is>
      </c>
      <c r="E388" s="41" t="inlineStr">
        <is>
          <t>rm</t>
        </is>
      </c>
      <c r="F388" s="41" t="inlineStr">
        <is>
          <t>higher</t>
        </is>
      </c>
      <c r="G388" s="68" t="n">
        <v>40199066.52</v>
      </c>
    </row>
    <row r="389">
      <c r="A389" s="64" t="n">
        <v>46082</v>
      </c>
      <c r="B389" s="41" t="inlineStr">
        <is>
          <t>K17</t>
        </is>
      </c>
      <c r="C389" s="41" t="inlineStr">
        <is>
          <t>Gross loans</t>
        </is>
      </c>
      <c r="D389" s="41" t="inlineStr">
        <is>
          <t>credit</t>
        </is>
      </c>
      <c r="E389" s="41" t="inlineStr">
        <is>
          <t>rm</t>
        </is>
      </c>
      <c r="F389" s="41" t="inlineStr">
        <is>
          <t>higher</t>
        </is>
      </c>
      <c r="G389" s="68" t="n">
        <v>41480006.02</v>
      </c>
    </row>
    <row r="390">
      <c r="A390" s="64" t="n">
        <v>46113</v>
      </c>
      <c r="B390" s="41" t="inlineStr">
        <is>
          <t>K17</t>
        </is>
      </c>
      <c r="C390" s="41" t="inlineStr">
        <is>
          <t>Gross loans</t>
        </is>
      </c>
      <c r="D390" s="41" t="inlineStr">
        <is>
          <t>credit</t>
        </is>
      </c>
      <c r="E390" s="41" t="inlineStr">
        <is>
          <t>rm</t>
        </is>
      </c>
      <c r="F390" s="41" t="inlineStr">
        <is>
          <t>higher</t>
        </is>
      </c>
      <c r="G390" s="68" t="n">
        <v>43528118.77</v>
      </c>
    </row>
    <row r="391">
      <c r="A391" s="64" t="n">
        <v>46143</v>
      </c>
      <c r="B391" s="41" t="inlineStr">
        <is>
          <t>K17</t>
        </is>
      </c>
      <c r="C391" s="41" t="inlineStr">
        <is>
          <t>Gross loans</t>
        </is>
      </c>
      <c r="D391" s="41" t="inlineStr">
        <is>
          <t>credit</t>
        </is>
      </c>
      <c r="E391" s="41" t="inlineStr">
        <is>
          <t>rm</t>
        </is>
      </c>
      <c r="F391" s="41" t="inlineStr">
        <is>
          <t>higher</t>
        </is>
      </c>
      <c r="G391" s="68" t="n">
        <v>45289071</v>
      </c>
    </row>
    <row r="392">
      <c r="A392" s="64" t="n">
        <v>46174</v>
      </c>
      <c r="B392" s="41" t="inlineStr">
        <is>
          <t>K17</t>
        </is>
      </c>
      <c r="C392" s="41" t="inlineStr">
        <is>
          <t>Gross loans</t>
        </is>
      </c>
      <c r="D392" s="41" t="inlineStr">
        <is>
          <t>credit</t>
        </is>
      </c>
      <c r="E392" s="41" t="inlineStr">
        <is>
          <t>rm</t>
        </is>
      </c>
      <c r="F392" s="41" t="inlineStr">
        <is>
          <t>higher</t>
        </is>
      </c>
      <c r="G392" s="68" t="n">
        <v>46786583</v>
      </c>
    </row>
    <row r="393">
      <c r="A393" s="64" t="n">
        <v>46204</v>
      </c>
      <c r="B393" s="41" t="inlineStr">
        <is>
          <t>K17</t>
        </is>
      </c>
      <c r="C393" s="41" t="inlineStr">
        <is>
          <t>Gross loans</t>
        </is>
      </c>
      <c r="D393" s="41" t="inlineStr">
        <is>
          <t>credit</t>
        </is>
      </c>
      <c r="E393" s="41" t="inlineStr">
        <is>
          <t>rm</t>
        </is>
      </c>
      <c r="F393" s="41" t="inlineStr">
        <is>
          <t>higher</t>
        </is>
      </c>
      <c r="G393" s="68" t="n">
        <v>47769207.09</v>
      </c>
    </row>
    <row r="394">
      <c r="A394" s="64" t="n">
        <v>46235</v>
      </c>
      <c r="B394" s="41" t="inlineStr">
        <is>
          <t>K17</t>
        </is>
      </c>
      <c r="C394" s="41" t="inlineStr">
        <is>
          <t>Gross loans</t>
        </is>
      </c>
      <c r="D394" s="41" t="inlineStr">
        <is>
          <t>credit</t>
        </is>
      </c>
      <c r="E394" s="41" t="inlineStr">
        <is>
          <t>rm</t>
        </is>
      </c>
      <c r="F394" s="41" t="inlineStr">
        <is>
          <t>higher</t>
        </is>
      </c>
      <c r="G394" s="68" t="n">
        <v>49074347.69</v>
      </c>
    </row>
    <row r="395">
      <c r="A395" s="64" t="n">
        <v>45658</v>
      </c>
      <c r="B395" s="41" t="inlineStr">
        <is>
          <t>K18</t>
        </is>
      </c>
      <c r="C395" s="41" t="inlineStr">
        <is>
          <t>Financing disbursed</t>
        </is>
      </c>
      <c r="D395" s="41" t="inlineStr">
        <is>
          <t>credit</t>
        </is>
      </c>
      <c r="E395" s="41" t="inlineStr">
        <is>
          <t>rm</t>
        </is>
      </c>
      <c r="F395" s="41" t="inlineStr">
        <is>
          <t>higher</t>
        </is>
      </c>
      <c r="G395" s="68" t="n">
        <v>1995000</v>
      </c>
    </row>
    <row r="396">
      <c r="A396" s="64" t="n">
        <v>45689</v>
      </c>
      <c r="B396" s="41" t="inlineStr">
        <is>
          <t>K18</t>
        </is>
      </c>
      <c r="C396" s="41" t="inlineStr">
        <is>
          <t>Financing disbursed</t>
        </is>
      </c>
      <c r="D396" s="41" t="inlineStr">
        <is>
          <t>credit</t>
        </is>
      </c>
      <c r="E396" s="41" t="inlineStr">
        <is>
          <t>rm</t>
        </is>
      </c>
      <c r="F396" s="41" t="inlineStr">
        <is>
          <t>higher</t>
        </is>
      </c>
      <c r="G396" s="68" t="n">
        <v>2747000</v>
      </c>
    </row>
    <row r="397">
      <c r="A397" s="64" t="n">
        <v>45717</v>
      </c>
      <c r="B397" s="41" t="inlineStr">
        <is>
          <t>K18</t>
        </is>
      </c>
      <c r="C397" s="41" t="inlineStr">
        <is>
          <t>Financing disbursed</t>
        </is>
      </c>
      <c r="D397" s="41" t="inlineStr">
        <is>
          <t>credit</t>
        </is>
      </c>
      <c r="E397" s="41" t="inlineStr">
        <is>
          <t>rm</t>
        </is>
      </c>
      <c r="F397" s="41" t="inlineStr">
        <is>
          <t>higher</t>
        </is>
      </c>
      <c r="G397" s="68" t="n">
        <v>1852000</v>
      </c>
    </row>
    <row r="398">
      <c r="A398" s="64" t="n">
        <v>45748</v>
      </c>
      <c r="B398" s="41" t="inlineStr">
        <is>
          <t>K18</t>
        </is>
      </c>
      <c r="C398" s="41" t="inlineStr">
        <is>
          <t>Financing disbursed</t>
        </is>
      </c>
      <c r="D398" s="41" t="inlineStr">
        <is>
          <t>credit</t>
        </is>
      </c>
      <c r="E398" s="41" t="inlineStr">
        <is>
          <t>rm</t>
        </is>
      </c>
      <c r="F398" s="41" t="inlineStr">
        <is>
          <t>higher</t>
        </is>
      </c>
      <c r="G398" s="68" t="n">
        <v>2367000</v>
      </c>
    </row>
    <row r="399">
      <c r="A399" s="64" t="n">
        <v>45778</v>
      </c>
      <c r="B399" s="41" t="inlineStr">
        <is>
          <t>K18</t>
        </is>
      </c>
      <c r="C399" s="41" t="inlineStr">
        <is>
          <t>Financing disbursed</t>
        </is>
      </c>
      <c r="D399" s="41" t="inlineStr">
        <is>
          <t>credit</t>
        </is>
      </c>
      <c r="E399" s="41" t="inlineStr">
        <is>
          <t>rm</t>
        </is>
      </c>
      <c r="F399" s="41" t="inlineStr">
        <is>
          <t>higher</t>
        </is>
      </c>
      <c r="G399" s="68" t="n">
        <v>1739000</v>
      </c>
    </row>
    <row r="400">
      <c r="A400" s="64" t="n">
        <v>45809</v>
      </c>
      <c r="B400" s="41" t="inlineStr">
        <is>
          <t>K18</t>
        </is>
      </c>
      <c r="C400" s="41" t="inlineStr">
        <is>
          <t>Financing disbursed</t>
        </is>
      </c>
      <c r="D400" s="41" t="inlineStr">
        <is>
          <t>credit</t>
        </is>
      </c>
      <c r="E400" s="41" t="inlineStr">
        <is>
          <t>rm</t>
        </is>
      </c>
      <c r="F400" s="41" t="inlineStr">
        <is>
          <t>higher</t>
        </is>
      </c>
      <c r="G400" s="68" t="n">
        <v>2527000</v>
      </c>
    </row>
    <row r="401">
      <c r="A401" s="64" t="n">
        <v>45839</v>
      </c>
      <c r="B401" s="41" t="inlineStr">
        <is>
          <t>K18</t>
        </is>
      </c>
      <c r="C401" s="41" t="inlineStr">
        <is>
          <t>Financing disbursed</t>
        </is>
      </c>
      <c r="D401" s="41" t="inlineStr">
        <is>
          <t>credit</t>
        </is>
      </c>
      <c r="E401" s="41" t="inlineStr">
        <is>
          <t>rm</t>
        </is>
      </c>
      <c r="F401" s="41" t="inlineStr">
        <is>
          <t>higher</t>
        </is>
      </c>
      <c r="G401" s="68" t="n">
        <v>4484500</v>
      </c>
    </row>
    <row r="402">
      <c r="A402" s="64" t="n">
        <v>45870</v>
      </c>
      <c r="B402" s="41" t="inlineStr">
        <is>
          <t>K18</t>
        </is>
      </c>
      <c r="C402" s="41" t="inlineStr">
        <is>
          <t>Financing disbursed</t>
        </is>
      </c>
      <c r="D402" s="41" t="inlineStr">
        <is>
          <t>credit</t>
        </is>
      </c>
      <c r="E402" s="41" t="inlineStr">
        <is>
          <t>rm</t>
        </is>
      </c>
      <c r="F402" s="41" t="inlineStr">
        <is>
          <t>higher</t>
        </is>
      </c>
      <c r="G402" s="68" t="n">
        <v>4347000</v>
      </c>
    </row>
    <row r="403">
      <c r="A403" s="64" t="n">
        <v>45901</v>
      </c>
      <c r="B403" s="41" t="inlineStr">
        <is>
          <t>K18</t>
        </is>
      </c>
      <c r="C403" s="41" t="inlineStr">
        <is>
          <t>Financing disbursed</t>
        </is>
      </c>
      <c r="D403" s="41" t="inlineStr">
        <is>
          <t>credit</t>
        </is>
      </c>
      <c r="E403" s="41" t="inlineStr">
        <is>
          <t>rm</t>
        </is>
      </c>
      <c r="F403" s="41" t="inlineStr">
        <is>
          <t>higher</t>
        </is>
      </c>
      <c r="G403" s="68" t="n">
        <v>4303500</v>
      </c>
    </row>
    <row r="404">
      <c r="A404" s="64" t="n">
        <v>45931</v>
      </c>
      <c r="B404" s="41" t="inlineStr">
        <is>
          <t>K18</t>
        </is>
      </c>
      <c r="C404" s="41" t="inlineStr">
        <is>
          <t>Financing disbursed</t>
        </is>
      </c>
      <c r="D404" s="41" t="inlineStr">
        <is>
          <t>credit</t>
        </is>
      </c>
      <c r="E404" s="41" t="inlineStr">
        <is>
          <t>rm</t>
        </is>
      </c>
      <c r="F404" s="41" t="inlineStr">
        <is>
          <t>higher</t>
        </is>
      </c>
      <c r="G404" s="68" t="n">
        <v>5075000</v>
      </c>
    </row>
    <row r="405">
      <c r="A405" s="64" t="n">
        <v>45962</v>
      </c>
      <c r="B405" s="41" t="inlineStr">
        <is>
          <t>K18</t>
        </is>
      </c>
      <c r="C405" s="41" t="inlineStr">
        <is>
          <t>Financing disbursed</t>
        </is>
      </c>
      <c r="D405" s="41" t="inlineStr">
        <is>
          <t>credit</t>
        </is>
      </c>
      <c r="E405" s="41" t="inlineStr">
        <is>
          <t>rm</t>
        </is>
      </c>
      <c r="F405" s="41" t="inlineStr">
        <is>
          <t>higher</t>
        </is>
      </c>
      <c r="G405" s="68" t="n">
        <v>5012000</v>
      </c>
    </row>
    <row r="406">
      <c r="A406" s="64" t="n">
        <v>45992</v>
      </c>
      <c r="B406" s="41" t="inlineStr">
        <is>
          <t>K18</t>
        </is>
      </c>
      <c r="C406" s="41" t="inlineStr">
        <is>
          <t>Financing disbursed</t>
        </is>
      </c>
      <c r="D406" s="41" t="inlineStr">
        <is>
          <t>credit</t>
        </is>
      </c>
      <c r="E406" s="41" t="inlineStr">
        <is>
          <t>rm</t>
        </is>
      </c>
      <c r="F406" s="41" t="inlineStr">
        <is>
          <t>higher</t>
        </is>
      </c>
      <c r="G406" s="68" t="n">
        <v>5052500</v>
      </c>
    </row>
    <row r="407">
      <c r="A407" s="64" t="n">
        <v>46023</v>
      </c>
      <c r="B407" s="41" t="inlineStr">
        <is>
          <t>K18</t>
        </is>
      </c>
      <c r="C407" s="41" t="inlineStr">
        <is>
          <t>Financing disbursed</t>
        </is>
      </c>
      <c r="D407" s="41" t="inlineStr">
        <is>
          <t>credit</t>
        </is>
      </c>
      <c r="E407" s="41" t="inlineStr">
        <is>
          <t>rm</t>
        </is>
      </c>
      <c r="F407" s="41" t="inlineStr">
        <is>
          <t>higher</t>
        </is>
      </c>
      <c r="G407" s="68" t="n">
        <v>3101500</v>
      </c>
    </row>
    <row r="408">
      <c r="A408" s="64" t="n">
        <v>46054</v>
      </c>
      <c r="B408" s="41" t="inlineStr">
        <is>
          <t>K18</t>
        </is>
      </c>
      <c r="C408" s="41" t="inlineStr">
        <is>
          <t>Financing disbursed</t>
        </is>
      </c>
      <c r="D408" s="41" t="inlineStr">
        <is>
          <t>credit</t>
        </is>
      </c>
      <c r="E408" s="41" t="inlineStr">
        <is>
          <t>rm</t>
        </is>
      </c>
      <c r="F408" s="41" t="inlineStr">
        <is>
          <t>higher</t>
        </is>
      </c>
      <c r="G408" s="68" t="n">
        <v>3658000</v>
      </c>
    </row>
    <row r="409">
      <c r="A409" s="64" t="n">
        <v>46082</v>
      </c>
      <c r="B409" s="41" t="inlineStr">
        <is>
          <t>K18</t>
        </is>
      </c>
      <c r="C409" s="41" t="inlineStr">
        <is>
          <t>Financing disbursed</t>
        </is>
      </c>
      <c r="D409" s="41" t="inlineStr">
        <is>
          <t>credit</t>
        </is>
      </c>
      <c r="E409" s="41" t="inlineStr">
        <is>
          <t>rm</t>
        </is>
      </c>
      <c r="F409" s="41" t="inlineStr">
        <is>
          <t>higher</t>
        </is>
      </c>
      <c r="G409" s="68" t="n">
        <v>2807500</v>
      </c>
    </row>
    <row r="410">
      <c r="A410" s="64" t="n">
        <v>46113</v>
      </c>
      <c r="B410" s="41" t="inlineStr">
        <is>
          <t>K18</t>
        </is>
      </c>
      <c r="C410" s="41" t="inlineStr">
        <is>
          <t>Financing disbursed</t>
        </is>
      </c>
      <c r="D410" s="41" t="inlineStr">
        <is>
          <t>credit</t>
        </is>
      </c>
      <c r="E410" s="41" t="inlineStr">
        <is>
          <t>rm</t>
        </is>
      </c>
      <c r="F410" s="41" t="inlineStr">
        <is>
          <t>higher</t>
        </is>
      </c>
      <c r="G410" s="68" t="n">
        <v>3585500</v>
      </c>
    </row>
    <row r="411">
      <c r="A411" s="64" t="n">
        <v>46143</v>
      </c>
      <c r="B411" s="41" t="inlineStr">
        <is>
          <t>K18</t>
        </is>
      </c>
      <c r="C411" s="41" t="inlineStr">
        <is>
          <t>Financing disbursed</t>
        </is>
      </c>
      <c r="D411" s="41" t="inlineStr">
        <is>
          <t>credit</t>
        </is>
      </c>
      <c r="E411" s="41" t="inlineStr">
        <is>
          <t>rm</t>
        </is>
      </c>
      <c r="F411" s="41" t="inlineStr">
        <is>
          <t>higher</t>
        </is>
      </c>
      <c r="G411" s="68" t="n">
        <v>3337000</v>
      </c>
    </row>
    <row r="412">
      <c r="A412" s="64" t="n">
        <v>46174</v>
      </c>
      <c r="B412" s="41" t="inlineStr">
        <is>
          <t>K18</t>
        </is>
      </c>
      <c r="C412" s="41" t="inlineStr">
        <is>
          <t>Financing disbursed</t>
        </is>
      </c>
      <c r="D412" s="41" t="inlineStr">
        <is>
          <t>credit</t>
        </is>
      </c>
      <c r="E412" s="41" t="inlineStr">
        <is>
          <t>rm</t>
        </is>
      </c>
      <c r="F412" s="41" t="inlineStr">
        <is>
          <t>higher</t>
        </is>
      </c>
      <c r="G412" s="68" t="n">
        <v>3208000</v>
      </c>
    </row>
    <row r="413">
      <c r="A413" s="64" t="n">
        <v>46204</v>
      </c>
      <c r="B413" s="41" t="inlineStr">
        <is>
          <t>K18</t>
        </is>
      </c>
      <c r="C413" s="41" t="inlineStr">
        <is>
          <t>Financing disbursed</t>
        </is>
      </c>
      <c r="D413" s="41" t="inlineStr">
        <is>
          <t>credit</t>
        </is>
      </c>
      <c r="E413" s="41" t="inlineStr">
        <is>
          <t>rm</t>
        </is>
      </c>
      <c r="F413" s="41" t="inlineStr">
        <is>
          <t>higher</t>
        </is>
      </c>
      <c r="G413" s="68" t="n">
        <v>2799000</v>
      </c>
    </row>
    <row r="414">
      <c r="A414" s="64" t="n">
        <v>46235</v>
      </c>
      <c r="B414" s="41" t="inlineStr">
        <is>
          <t>K18</t>
        </is>
      </c>
      <c r="C414" s="41" t="inlineStr">
        <is>
          <t>Financing disbursed</t>
        </is>
      </c>
      <c r="D414" s="41" t="inlineStr">
        <is>
          <t>credit</t>
        </is>
      </c>
      <c r="E414" s="41" t="inlineStr">
        <is>
          <t>rm</t>
        </is>
      </c>
      <c r="F414" s="41" t="inlineStr">
        <is>
          <t>higher</t>
        </is>
      </c>
      <c r="G414" s="68" t="n">
        <v>3154000</v>
      </c>
    </row>
    <row r="415">
      <c r="A415" s="64" t="n">
        <v>45658</v>
      </c>
      <c r="B415" s="41" t="inlineStr">
        <is>
          <t>K19</t>
        </is>
      </c>
      <c r="C415" s="41" t="inlineStr">
        <is>
          <t>PAR30</t>
        </is>
      </c>
      <c r="D415" s="41" t="inlineStr">
        <is>
          <t>credit</t>
        </is>
      </c>
      <c r="E415" s="41" t="inlineStr">
        <is>
          <t>pct</t>
        </is>
      </c>
      <c r="F415" s="41" t="inlineStr">
        <is>
          <t>lower</t>
        </is>
      </c>
      <c r="G415" s="69" t="n">
        <v>0</v>
      </c>
    </row>
    <row r="416">
      <c r="A416" s="64" t="n">
        <v>45689</v>
      </c>
      <c r="B416" s="41" t="inlineStr">
        <is>
          <t>K19</t>
        </is>
      </c>
      <c r="C416" s="41" t="inlineStr">
        <is>
          <t>PAR30</t>
        </is>
      </c>
      <c r="D416" s="41" t="inlineStr">
        <is>
          <t>credit</t>
        </is>
      </c>
      <c r="E416" s="41" t="inlineStr">
        <is>
          <t>pct</t>
        </is>
      </c>
      <c r="F416" s="41" t="inlineStr">
        <is>
          <t>lower</t>
        </is>
      </c>
      <c r="G416" s="69" t="n">
        <v>0</v>
      </c>
    </row>
    <row r="417">
      <c r="A417" s="64" t="n">
        <v>45717</v>
      </c>
      <c r="B417" s="41" t="inlineStr">
        <is>
          <t>K19</t>
        </is>
      </c>
      <c r="C417" s="41" t="inlineStr">
        <is>
          <t>PAR30</t>
        </is>
      </c>
      <c r="D417" s="41" t="inlineStr">
        <is>
          <t>credit</t>
        </is>
      </c>
      <c r="E417" s="41" t="inlineStr">
        <is>
          <t>pct</t>
        </is>
      </c>
      <c r="F417" s="41" t="inlineStr">
        <is>
          <t>lower</t>
        </is>
      </c>
      <c r="G417" s="69" t="n">
        <v>0.00359962590959727</v>
      </c>
    </row>
    <row r="418">
      <c r="A418" s="64" t="n">
        <v>45748</v>
      </c>
      <c r="B418" s="41" t="inlineStr">
        <is>
          <t>K19</t>
        </is>
      </c>
      <c r="C418" s="41" t="inlineStr">
        <is>
          <t>PAR30</t>
        </is>
      </c>
      <c r="D418" s="41" t="inlineStr">
        <is>
          <t>credit</t>
        </is>
      </c>
      <c r="E418" s="41" t="inlineStr">
        <is>
          <t>pct</t>
        </is>
      </c>
      <c r="F418" s="41" t="inlineStr">
        <is>
          <t>lower</t>
        </is>
      </c>
      <c r="G418" s="69" t="n">
        <v>0.002680975385792209</v>
      </c>
    </row>
    <row r="419">
      <c r="A419" s="64" t="n">
        <v>45778</v>
      </c>
      <c r="B419" s="41" t="inlineStr">
        <is>
          <t>K19</t>
        </is>
      </c>
      <c r="C419" s="41" t="inlineStr">
        <is>
          <t>PAR30</t>
        </is>
      </c>
      <c r="D419" s="41" t="inlineStr">
        <is>
          <t>credit</t>
        </is>
      </c>
      <c r="E419" s="41" t="inlineStr">
        <is>
          <t>pct</t>
        </is>
      </c>
      <c r="F419" s="41" t="inlineStr">
        <is>
          <t>lower</t>
        </is>
      </c>
      <c r="G419" s="69" t="n">
        <v>0.005726532096955354</v>
      </c>
    </row>
    <row r="420">
      <c r="A420" s="64" t="n">
        <v>45809</v>
      </c>
      <c r="B420" s="41" t="inlineStr">
        <is>
          <t>K19</t>
        </is>
      </c>
      <c r="C420" s="41" t="inlineStr">
        <is>
          <t>PAR30</t>
        </is>
      </c>
      <c r="D420" s="41" t="inlineStr">
        <is>
          <t>credit</t>
        </is>
      </c>
      <c r="E420" s="41" t="inlineStr">
        <is>
          <t>pct</t>
        </is>
      </c>
      <c r="F420" s="41" t="inlineStr">
        <is>
          <t>lower</t>
        </is>
      </c>
      <c r="G420" s="69" t="n">
        <v>0.005268599468559927</v>
      </c>
    </row>
    <row r="421">
      <c r="A421" s="64" t="n">
        <v>45839</v>
      </c>
      <c r="B421" s="41" t="inlineStr">
        <is>
          <t>K19</t>
        </is>
      </c>
      <c r="C421" s="41" t="inlineStr">
        <is>
          <t>PAR30</t>
        </is>
      </c>
      <c r="D421" s="41" t="inlineStr">
        <is>
          <t>credit</t>
        </is>
      </c>
      <c r="E421" s="41" t="inlineStr">
        <is>
          <t>pct</t>
        </is>
      </c>
      <c r="F421" s="41" t="inlineStr">
        <is>
          <t>lower</t>
        </is>
      </c>
      <c r="G421" s="69" t="n">
        <v>0.005488493620576405</v>
      </c>
    </row>
    <row r="422">
      <c r="A422" s="64" t="n">
        <v>45870</v>
      </c>
      <c r="B422" s="41" t="inlineStr">
        <is>
          <t>K19</t>
        </is>
      </c>
      <c r="C422" s="41" t="inlineStr">
        <is>
          <t>PAR30</t>
        </is>
      </c>
      <c r="D422" s="41" t="inlineStr">
        <is>
          <t>credit</t>
        </is>
      </c>
      <c r="E422" s="41" t="inlineStr">
        <is>
          <t>pct</t>
        </is>
      </c>
      <c r="F422" s="41" t="inlineStr">
        <is>
          <t>lower</t>
        </is>
      </c>
      <c r="G422" s="69" t="n">
        <v>0.00652130010189466</v>
      </c>
    </row>
    <row r="423">
      <c r="A423" s="64" t="n">
        <v>45901</v>
      </c>
      <c r="B423" s="41" t="inlineStr">
        <is>
          <t>K19</t>
        </is>
      </c>
      <c r="C423" s="41" t="inlineStr">
        <is>
          <t>PAR30</t>
        </is>
      </c>
      <c r="D423" s="41" t="inlineStr">
        <is>
          <t>credit</t>
        </is>
      </c>
      <c r="E423" s="41" t="inlineStr">
        <is>
          <t>pct</t>
        </is>
      </c>
      <c r="F423" s="41" t="inlineStr">
        <is>
          <t>lower</t>
        </is>
      </c>
      <c r="G423" s="69" t="n">
        <v>0.01064076551874992</v>
      </c>
    </row>
    <row r="424">
      <c r="A424" s="64" t="n">
        <v>45931</v>
      </c>
      <c r="B424" s="41" t="inlineStr">
        <is>
          <t>K19</t>
        </is>
      </c>
      <c r="C424" s="41" t="inlineStr">
        <is>
          <t>PAR30</t>
        </is>
      </c>
      <c r="D424" s="41" t="inlineStr">
        <is>
          <t>credit</t>
        </is>
      </c>
      <c r="E424" s="41" t="inlineStr">
        <is>
          <t>pct</t>
        </is>
      </c>
      <c r="F424" s="41" t="inlineStr">
        <is>
          <t>lower</t>
        </is>
      </c>
      <c r="G424" s="69" t="n">
        <v>0.0115013628722948</v>
      </c>
    </row>
    <row r="425">
      <c r="A425" s="64" t="n">
        <v>45962</v>
      </c>
      <c r="B425" s="41" t="inlineStr">
        <is>
          <t>K19</t>
        </is>
      </c>
      <c r="C425" s="41" t="inlineStr">
        <is>
          <t>PAR30</t>
        </is>
      </c>
      <c r="D425" s="41" t="inlineStr">
        <is>
          <t>credit</t>
        </is>
      </c>
      <c r="E425" s="41" t="inlineStr">
        <is>
          <t>pct</t>
        </is>
      </c>
      <c r="F425" s="41" t="inlineStr">
        <is>
          <t>lower</t>
        </is>
      </c>
      <c r="G425" s="69" t="n">
        <v>0.01501154687899564</v>
      </c>
    </row>
    <row r="426">
      <c r="A426" s="64" t="n">
        <v>45992</v>
      </c>
      <c r="B426" s="41" t="inlineStr">
        <is>
          <t>K19</t>
        </is>
      </c>
      <c r="C426" s="41" t="inlineStr">
        <is>
          <t>PAR30</t>
        </is>
      </c>
      <c r="D426" s="41" t="inlineStr">
        <is>
          <t>credit</t>
        </is>
      </c>
      <c r="E426" s="41" t="inlineStr">
        <is>
          <t>pct</t>
        </is>
      </c>
      <c r="F426" s="41" t="inlineStr">
        <is>
          <t>lower</t>
        </is>
      </c>
      <c r="G426" s="69" t="n">
        <v>0.02062655112081782</v>
      </c>
    </row>
    <row r="427">
      <c r="A427" s="64" t="n">
        <v>46023</v>
      </c>
      <c r="B427" s="41" t="inlineStr">
        <is>
          <t>K19</t>
        </is>
      </c>
      <c r="C427" s="41" t="inlineStr">
        <is>
          <t>PAR30</t>
        </is>
      </c>
      <c r="D427" s="41" t="inlineStr">
        <is>
          <t>credit</t>
        </is>
      </c>
      <c r="E427" s="41" t="inlineStr">
        <is>
          <t>pct</t>
        </is>
      </c>
      <c r="F427" s="41" t="inlineStr">
        <is>
          <t>lower</t>
        </is>
      </c>
      <c r="G427" s="69" t="n">
        <v>0.03108039596657332</v>
      </c>
    </row>
    <row r="428">
      <c r="A428" s="64" t="n">
        <v>46054</v>
      </c>
      <c r="B428" s="41" t="inlineStr">
        <is>
          <t>K19</t>
        </is>
      </c>
      <c r="C428" s="41" t="inlineStr">
        <is>
          <t>PAR30</t>
        </is>
      </c>
      <c r="D428" s="41" t="inlineStr">
        <is>
          <t>credit</t>
        </is>
      </c>
      <c r="E428" s="41" t="inlineStr">
        <is>
          <t>pct</t>
        </is>
      </c>
      <c r="F428" s="41" t="inlineStr">
        <is>
          <t>lower</t>
        </is>
      </c>
      <c r="G428" s="69" t="n">
        <v>0.02977244805932374</v>
      </c>
    </row>
    <row r="429">
      <c r="A429" s="64" t="n">
        <v>46082</v>
      </c>
      <c r="B429" s="41" t="inlineStr">
        <is>
          <t>K19</t>
        </is>
      </c>
      <c r="C429" s="41" t="inlineStr">
        <is>
          <t>PAR30</t>
        </is>
      </c>
      <c r="D429" s="41" t="inlineStr">
        <is>
          <t>credit</t>
        </is>
      </c>
      <c r="E429" s="41" t="inlineStr">
        <is>
          <t>pct</t>
        </is>
      </c>
      <c r="F429" s="41" t="inlineStr">
        <is>
          <t>lower</t>
        </is>
      </c>
      <c r="G429" s="69" t="n">
        <v>0.03476973916794045</v>
      </c>
    </row>
    <row r="430">
      <c r="A430" s="64" t="n">
        <v>46113</v>
      </c>
      <c r="B430" s="41" t="inlineStr">
        <is>
          <t>K19</t>
        </is>
      </c>
      <c r="C430" s="41" t="inlineStr">
        <is>
          <t>PAR30</t>
        </is>
      </c>
      <c r="D430" s="41" t="inlineStr">
        <is>
          <t>credit</t>
        </is>
      </c>
      <c r="E430" s="41" t="inlineStr">
        <is>
          <t>pct</t>
        </is>
      </c>
      <c r="F430" s="41" t="inlineStr">
        <is>
          <t>lower</t>
        </is>
      </c>
      <c r="G430" s="69" t="n">
        <v>0.03461130695678811</v>
      </c>
    </row>
    <row r="431">
      <c r="A431" s="64" t="n">
        <v>46143</v>
      </c>
      <c r="B431" s="41" t="inlineStr">
        <is>
          <t>K19</t>
        </is>
      </c>
      <c r="C431" s="41" t="inlineStr">
        <is>
          <t>PAR30</t>
        </is>
      </c>
      <c r="D431" s="41" t="inlineStr">
        <is>
          <t>credit</t>
        </is>
      </c>
      <c r="E431" s="41" t="inlineStr">
        <is>
          <t>pct</t>
        </is>
      </c>
      <c r="F431" s="41" t="inlineStr">
        <is>
          <t>lower</t>
        </is>
      </c>
      <c r="G431" s="69" t="n">
        <v>0.03471361424039809</v>
      </c>
    </row>
    <row r="432">
      <c r="A432" s="64" t="n">
        <v>46174</v>
      </c>
      <c r="B432" s="41" t="inlineStr">
        <is>
          <t>K19</t>
        </is>
      </c>
      <c r="C432" s="41" t="inlineStr">
        <is>
          <t>PAR30</t>
        </is>
      </c>
      <c r="D432" s="41" t="inlineStr">
        <is>
          <t>credit</t>
        </is>
      </c>
      <c r="E432" s="41" t="inlineStr">
        <is>
          <t>pct</t>
        </is>
      </c>
      <c r="F432" s="41" t="inlineStr">
        <is>
          <t>lower</t>
        </is>
      </c>
      <c r="G432" s="69" t="n">
        <v>0.0366539593199187</v>
      </c>
    </row>
    <row r="433">
      <c r="A433" s="64" t="n">
        <v>46204</v>
      </c>
      <c r="B433" s="41" t="inlineStr">
        <is>
          <t>K19</t>
        </is>
      </c>
      <c r="C433" s="41" t="inlineStr">
        <is>
          <t>PAR30</t>
        </is>
      </c>
      <c r="D433" s="41" t="inlineStr">
        <is>
          <t>credit</t>
        </is>
      </c>
      <c r="E433" s="41" t="inlineStr">
        <is>
          <t>pct</t>
        </is>
      </c>
      <c r="F433" s="41" t="inlineStr">
        <is>
          <t>lower</t>
        </is>
      </c>
      <c r="G433" s="69" t="n">
        <v>0.03295565042630897</v>
      </c>
    </row>
    <row r="434">
      <c r="A434" s="64" t="n">
        <v>46235</v>
      </c>
      <c r="B434" s="41" t="inlineStr">
        <is>
          <t>K19</t>
        </is>
      </c>
      <c r="C434" s="41" t="inlineStr">
        <is>
          <t>PAR30</t>
        </is>
      </c>
      <c r="D434" s="41" t="inlineStr">
        <is>
          <t>credit</t>
        </is>
      </c>
      <c r="E434" s="41" t="inlineStr">
        <is>
          <t>pct</t>
        </is>
      </c>
      <c r="F434" s="41" t="inlineStr">
        <is>
          <t>lower</t>
        </is>
      </c>
      <c r="G434" s="69" t="n">
        <v>0.02985096366952851</v>
      </c>
    </row>
    <row r="435">
      <c r="A435" s="64" t="n">
        <v>45658</v>
      </c>
      <c r="B435" s="41" t="inlineStr">
        <is>
          <t>K20</t>
        </is>
      </c>
      <c r="C435" s="41" t="inlineStr">
        <is>
          <t>Gross impaired loans (GIL) ratio</t>
        </is>
      </c>
      <c r="D435" s="41" t="inlineStr">
        <is>
          <t>credit</t>
        </is>
      </c>
      <c r="E435" s="41" t="inlineStr">
        <is>
          <t>pct</t>
        </is>
      </c>
      <c r="F435" s="41" t="inlineStr">
        <is>
          <t>lower</t>
        </is>
      </c>
      <c r="G435" s="69" t="n">
        <v>0</v>
      </c>
    </row>
    <row r="436">
      <c r="A436" s="64" t="n">
        <v>45689</v>
      </c>
      <c r="B436" s="41" t="inlineStr">
        <is>
          <t>K20</t>
        </is>
      </c>
      <c r="C436" s="41" t="inlineStr">
        <is>
          <t>Gross impaired loans (GIL) ratio</t>
        </is>
      </c>
      <c r="D436" s="41" t="inlineStr">
        <is>
          <t>credit</t>
        </is>
      </c>
      <c r="E436" s="41" t="inlineStr">
        <is>
          <t>pct</t>
        </is>
      </c>
      <c r="F436" s="41" t="inlineStr">
        <is>
          <t>lower</t>
        </is>
      </c>
      <c r="G436" s="69" t="n">
        <v>0</v>
      </c>
    </row>
    <row r="437">
      <c r="A437" s="64" t="n">
        <v>45717</v>
      </c>
      <c r="B437" s="41" t="inlineStr">
        <is>
          <t>K20</t>
        </is>
      </c>
      <c r="C437" s="41" t="inlineStr">
        <is>
          <t>Gross impaired loans (GIL) ratio</t>
        </is>
      </c>
      <c r="D437" s="41" t="inlineStr">
        <is>
          <t>credit</t>
        </is>
      </c>
      <c r="E437" s="41" t="inlineStr">
        <is>
          <t>pct</t>
        </is>
      </c>
      <c r="F437" s="41" t="inlineStr">
        <is>
          <t>lower</t>
        </is>
      </c>
      <c r="G437" s="69" t="n">
        <v>0</v>
      </c>
    </row>
    <row r="438">
      <c r="A438" s="64" t="n">
        <v>45748</v>
      </c>
      <c r="B438" s="41" t="inlineStr">
        <is>
          <t>K20</t>
        </is>
      </c>
      <c r="C438" s="41" t="inlineStr">
        <is>
          <t>Gross impaired loans (GIL) ratio</t>
        </is>
      </c>
      <c r="D438" s="41" t="inlineStr">
        <is>
          <t>credit</t>
        </is>
      </c>
      <c r="E438" s="41" t="inlineStr">
        <is>
          <t>pct</t>
        </is>
      </c>
      <c r="F438" s="41" t="inlineStr">
        <is>
          <t>lower</t>
        </is>
      </c>
      <c r="G438" s="69" t="n">
        <v>0</v>
      </c>
    </row>
    <row r="439">
      <c r="A439" s="64" t="n">
        <v>45778</v>
      </c>
      <c r="B439" s="41" t="inlineStr">
        <is>
          <t>K20</t>
        </is>
      </c>
      <c r="C439" s="41" t="inlineStr">
        <is>
          <t>Gross impaired loans (GIL) ratio</t>
        </is>
      </c>
      <c r="D439" s="41" t="inlineStr">
        <is>
          <t>credit</t>
        </is>
      </c>
      <c r="E439" s="41" t="inlineStr">
        <is>
          <t>pct</t>
        </is>
      </c>
      <c r="F439" s="41" t="inlineStr">
        <is>
          <t>lower</t>
        </is>
      </c>
      <c r="G439" s="69" t="n">
        <v>0.002290950473971994</v>
      </c>
    </row>
    <row r="440">
      <c r="A440" s="64" t="n">
        <v>45809</v>
      </c>
      <c r="B440" s="41" t="inlineStr">
        <is>
          <t>K20</t>
        </is>
      </c>
      <c r="C440" s="41" t="inlineStr">
        <is>
          <t>Gross impaired loans (GIL) ratio</t>
        </is>
      </c>
      <c r="D440" s="41" t="inlineStr">
        <is>
          <t>credit</t>
        </is>
      </c>
      <c r="E440" s="41" t="inlineStr">
        <is>
          <t>pct</t>
        </is>
      </c>
      <c r="F440" s="41" t="inlineStr">
        <is>
          <t>lower</t>
        </is>
      </c>
      <c r="G440" s="69" t="n">
        <v>0.00186798208470686</v>
      </c>
    </row>
    <row r="441">
      <c r="A441" s="64" t="n">
        <v>45839</v>
      </c>
      <c r="B441" s="41" t="inlineStr">
        <is>
          <t>K20</t>
        </is>
      </c>
      <c r="C441" s="41" t="inlineStr">
        <is>
          <t>Gross impaired loans (GIL) ratio</t>
        </is>
      </c>
      <c r="D441" s="41" t="inlineStr">
        <is>
          <t>credit</t>
        </is>
      </c>
      <c r="E441" s="41" t="inlineStr">
        <is>
          <t>pct</t>
        </is>
      </c>
      <c r="F441" s="41" t="inlineStr">
        <is>
          <t>lower</t>
        </is>
      </c>
      <c r="G441" s="69" t="n">
        <v>0.0008274195431077342</v>
      </c>
    </row>
    <row r="442">
      <c r="A442" s="64" t="n">
        <v>45870</v>
      </c>
      <c r="B442" s="41" t="inlineStr">
        <is>
          <t>K20</t>
        </is>
      </c>
      <c r="C442" s="41" t="inlineStr">
        <is>
          <t>Gross impaired loans (GIL) ratio</t>
        </is>
      </c>
      <c r="D442" s="41" t="inlineStr">
        <is>
          <t>credit</t>
        </is>
      </c>
      <c r="E442" s="41" t="inlineStr">
        <is>
          <t>pct</t>
        </is>
      </c>
      <c r="F442" s="41" t="inlineStr">
        <is>
          <t>lower</t>
        </is>
      </c>
      <c r="G442" s="69" t="n">
        <v>0.0006689694867799849</v>
      </c>
    </row>
    <row r="443">
      <c r="A443" s="64" t="n">
        <v>45901</v>
      </c>
      <c r="B443" s="41" t="inlineStr">
        <is>
          <t>K20</t>
        </is>
      </c>
      <c r="C443" s="41" t="inlineStr">
        <is>
          <t>Gross impaired loans (GIL) ratio</t>
        </is>
      </c>
      <c r="D443" s="41" t="inlineStr">
        <is>
          <t>credit</t>
        </is>
      </c>
      <c r="E443" s="41" t="inlineStr">
        <is>
          <t>pct</t>
        </is>
      </c>
      <c r="F443" s="41" t="inlineStr">
        <is>
          <t>lower</t>
        </is>
      </c>
      <c r="G443" s="69" t="n">
        <v>0.001246086340722761</v>
      </c>
    </row>
    <row r="444">
      <c r="A444" s="64" t="n">
        <v>45931</v>
      </c>
      <c r="B444" s="41" t="inlineStr">
        <is>
          <t>K20</t>
        </is>
      </c>
      <c r="C444" s="41" t="inlineStr">
        <is>
          <t>Gross impaired loans (GIL) ratio</t>
        </is>
      </c>
      <c r="D444" s="41" t="inlineStr">
        <is>
          <t>credit</t>
        </is>
      </c>
      <c r="E444" s="41" t="inlineStr">
        <is>
          <t>pct</t>
        </is>
      </c>
      <c r="F444" s="41" t="inlineStr">
        <is>
          <t>lower</t>
        </is>
      </c>
      <c r="G444" s="69" t="n">
        <v>0.002738749968586165</v>
      </c>
    </row>
    <row r="445">
      <c r="A445" s="64" t="n">
        <v>45962</v>
      </c>
      <c r="B445" s="41" t="inlineStr">
        <is>
          <t>K20</t>
        </is>
      </c>
      <c r="C445" s="41" t="inlineStr">
        <is>
          <t>Gross impaired loans (GIL) ratio</t>
        </is>
      </c>
      <c r="D445" s="41" t="inlineStr">
        <is>
          <t>credit</t>
        </is>
      </c>
      <c r="E445" s="41" t="inlineStr">
        <is>
          <t>pct</t>
        </is>
      </c>
      <c r="F445" s="41" t="inlineStr">
        <is>
          <t>lower</t>
        </is>
      </c>
      <c r="G445" s="69" t="n">
        <v>0.002361234982953383</v>
      </c>
    </row>
    <row r="446">
      <c r="A446" s="64" t="n">
        <v>45992</v>
      </c>
      <c r="B446" s="41" t="inlineStr">
        <is>
          <t>K20</t>
        </is>
      </c>
      <c r="C446" s="41" t="inlineStr">
        <is>
          <t>Gross impaired loans (GIL) ratio</t>
        </is>
      </c>
      <c r="D446" s="41" t="inlineStr">
        <is>
          <t>credit</t>
        </is>
      </c>
      <c r="E446" s="41" t="inlineStr">
        <is>
          <t>pct</t>
        </is>
      </c>
      <c r="F446" s="41" t="inlineStr">
        <is>
          <t>lower</t>
        </is>
      </c>
      <c r="G446" s="69" t="n">
        <v>0.002968114379035891</v>
      </c>
    </row>
    <row r="447">
      <c r="A447" s="64" t="n">
        <v>46023</v>
      </c>
      <c r="B447" s="41" t="inlineStr">
        <is>
          <t>K20</t>
        </is>
      </c>
      <c r="C447" s="41" t="inlineStr">
        <is>
          <t>Gross impaired loans (GIL) ratio</t>
        </is>
      </c>
      <c r="D447" s="41" t="inlineStr">
        <is>
          <t>credit</t>
        </is>
      </c>
      <c r="E447" s="41" t="inlineStr">
        <is>
          <t>pct</t>
        </is>
      </c>
      <c r="F447" s="41" t="inlineStr">
        <is>
          <t>lower</t>
        </is>
      </c>
      <c r="G447" s="69" t="n">
        <v>0.005927068706957018</v>
      </c>
    </row>
    <row r="448">
      <c r="A448" s="64" t="n">
        <v>46054</v>
      </c>
      <c r="B448" s="41" t="inlineStr">
        <is>
          <t>K20</t>
        </is>
      </c>
      <c r="C448" s="41" t="inlineStr">
        <is>
          <t>Gross impaired loans (GIL) ratio</t>
        </is>
      </c>
      <c r="D448" s="41" t="inlineStr">
        <is>
          <t>credit</t>
        </is>
      </c>
      <c r="E448" s="41" t="inlineStr">
        <is>
          <t>pct</t>
        </is>
      </c>
      <c r="F448" s="41" t="inlineStr">
        <is>
          <t>lower</t>
        </is>
      </c>
      <c r="G448" s="69" t="n">
        <v>0.007063992639200219</v>
      </c>
    </row>
    <row r="449">
      <c r="A449" s="64" t="n">
        <v>46082</v>
      </c>
      <c r="B449" s="41" t="inlineStr">
        <is>
          <t>K20</t>
        </is>
      </c>
      <c r="C449" s="41" t="inlineStr">
        <is>
          <t>Gross impaired loans (GIL) ratio</t>
        </is>
      </c>
      <c r="D449" s="41" t="inlineStr">
        <is>
          <t>credit</t>
        </is>
      </c>
      <c r="E449" s="41" t="inlineStr">
        <is>
          <t>pct</t>
        </is>
      </c>
      <c r="F449" s="41" t="inlineStr">
        <is>
          <t>lower</t>
        </is>
      </c>
      <c r="G449" s="69" t="n">
        <v>0.008594310469196021</v>
      </c>
    </row>
    <row r="450">
      <c r="A450" s="64" t="n">
        <v>46113</v>
      </c>
      <c r="B450" s="41" t="inlineStr">
        <is>
          <t>K20</t>
        </is>
      </c>
      <c r="C450" s="41" t="inlineStr">
        <is>
          <t>Gross impaired loans (GIL) ratio</t>
        </is>
      </c>
      <c r="D450" s="41" t="inlineStr">
        <is>
          <t>credit</t>
        </is>
      </c>
      <c r="E450" s="41" t="inlineStr">
        <is>
          <t>pct</t>
        </is>
      </c>
      <c r="F450" s="41" t="inlineStr">
        <is>
          <t>lower</t>
        </is>
      </c>
      <c r="G450" s="69" t="n">
        <v>0.01111614178771917</v>
      </c>
    </row>
    <row r="451">
      <c r="A451" s="64" t="n">
        <v>46143</v>
      </c>
      <c r="B451" s="41" t="inlineStr">
        <is>
          <t>K20</t>
        </is>
      </c>
      <c r="C451" s="41" t="inlineStr">
        <is>
          <t>Gross impaired loans (GIL) ratio</t>
        </is>
      </c>
      <c r="D451" s="41" t="inlineStr">
        <is>
          <t>credit</t>
        </is>
      </c>
      <c r="E451" s="41" t="inlineStr">
        <is>
          <t>pct</t>
        </is>
      </c>
      <c r="F451" s="41" t="inlineStr">
        <is>
          <t>lower</t>
        </is>
      </c>
      <c r="G451" s="69" t="n">
        <v>0.01194311205897776</v>
      </c>
    </row>
    <row r="452">
      <c r="A452" s="64" t="n">
        <v>46174</v>
      </c>
      <c r="B452" s="41" t="inlineStr">
        <is>
          <t>K20</t>
        </is>
      </c>
      <c r="C452" s="41" t="inlineStr">
        <is>
          <t>Gross impaired loans (GIL) ratio</t>
        </is>
      </c>
      <c r="D452" s="41" t="inlineStr">
        <is>
          <t>credit</t>
        </is>
      </c>
      <c r="E452" s="41" t="inlineStr">
        <is>
          <t>pct</t>
        </is>
      </c>
      <c r="F452" s="41" t="inlineStr">
        <is>
          <t>lower</t>
        </is>
      </c>
      <c r="G452" s="69" t="n">
        <v>0.01265389823403004</v>
      </c>
    </row>
    <row r="453">
      <c r="A453" s="64" t="n">
        <v>46204</v>
      </c>
      <c r="B453" s="41" t="inlineStr">
        <is>
          <t>K20</t>
        </is>
      </c>
      <c r="C453" s="41" t="inlineStr">
        <is>
          <t>Gross impaired loans (GIL) ratio</t>
        </is>
      </c>
      <c r="D453" s="41" t="inlineStr">
        <is>
          <t>credit</t>
        </is>
      </c>
      <c r="E453" s="41" t="inlineStr">
        <is>
          <t>pct</t>
        </is>
      </c>
      <c r="F453" s="41" t="inlineStr">
        <is>
          <t>lower</t>
        </is>
      </c>
      <c r="G453" s="69" t="n">
        <v>0.01174663814165478</v>
      </c>
    </row>
    <row r="454">
      <c r="A454" s="64" t="n">
        <v>46235</v>
      </c>
      <c r="B454" s="41" t="inlineStr">
        <is>
          <t>K20</t>
        </is>
      </c>
      <c r="C454" s="41" t="inlineStr">
        <is>
          <t>Gross impaired loans (GIL) ratio</t>
        </is>
      </c>
      <c r="D454" s="41" t="inlineStr">
        <is>
          <t>credit</t>
        </is>
      </c>
      <c r="E454" s="41" t="inlineStr">
        <is>
          <t>pct</t>
        </is>
      </c>
      <c r="F454" s="41" t="inlineStr">
        <is>
          <t>lower</t>
        </is>
      </c>
      <c r="G454" s="69" t="n">
        <v>0.01260141436634957</v>
      </c>
    </row>
    <row r="455">
      <c r="A455" s="64" t="n">
        <v>45839</v>
      </c>
      <c r="B455" s="41" t="inlineStr">
        <is>
          <t>K21</t>
        </is>
      </c>
      <c r="C455" s="41" t="inlineStr">
        <is>
          <t>Early delinquency at month 6</t>
        </is>
      </c>
      <c r="D455" s="41" t="inlineStr">
        <is>
          <t>credit</t>
        </is>
      </c>
      <c r="E455" s="41" t="inlineStr">
        <is>
          <t>pct</t>
        </is>
      </c>
      <c r="F455" s="41" t="inlineStr">
        <is>
          <t>lower</t>
        </is>
      </c>
      <c r="G455" s="65" t="n">
        <v>0.0310077519379845</v>
      </c>
    </row>
    <row r="456">
      <c r="A456" s="64" t="n">
        <v>45870</v>
      </c>
      <c r="B456" s="41" t="inlineStr">
        <is>
          <t>K21</t>
        </is>
      </c>
      <c r="C456" s="41" t="inlineStr">
        <is>
          <t>Early delinquency at month 6</t>
        </is>
      </c>
      <c r="D456" s="41" t="inlineStr">
        <is>
          <t>credit</t>
        </is>
      </c>
      <c r="E456" s="41" t="inlineStr">
        <is>
          <t>pct</t>
        </is>
      </c>
      <c r="F456" s="41" t="inlineStr">
        <is>
          <t>lower</t>
        </is>
      </c>
      <c r="G456" s="65" t="n">
        <v>0.03191489361702127</v>
      </c>
    </row>
    <row r="457">
      <c r="A457" s="64" t="n">
        <v>45901</v>
      </c>
      <c r="B457" s="41" t="inlineStr">
        <is>
          <t>K21</t>
        </is>
      </c>
      <c r="C457" s="41" t="inlineStr">
        <is>
          <t>Early delinquency at month 6</t>
        </is>
      </c>
      <c r="D457" s="41" t="inlineStr">
        <is>
          <t>credit</t>
        </is>
      </c>
      <c r="E457" s="41" t="inlineStr">
        <is>
          <t>pct</t>
        </is>
      </c>
      <c r="F457" s="41" t="inlineStr">
        <is>
          <t>lower</t>
        </is>
      </c>
      <c r="G457" s="65" t="n">
        <v>0.02222222222222222</v>
      </c>
    </row>
    <row r="458">
      <c r="A458" s="64" t="n">
        <v>45931</v>
      </c>
      <c r="B458" s="41" t="inlineStr">
        <is>
          <t>K21</t>
        </is>
      </c>
      <c r="C458" s="41" t="inlineStr">
        <is>
          <t>Early delinquency at month 6</t>
        </is>
      </c>
      <c r="D458" s="41" t="inlineStr">
        <is>
          <t>credit</t>
        </is>
      </c>
      <c r="E458" s="41" t="inlineStr">
        <is>
          <t>pct</t>
        </is>
      </c>
      <c r="F458" s="41" t="inlineStr">
        <is>
          <t>lower</t>
        </is>
      </c>
      <c r="G458" s="65" t="n">
        <v>0.03821656050955414</v>
      </c>
    </row>
    <row r="459">
      <c r="A459" s="64" t="n">
        <v>45962</v>
      </c>
      <c r="B459" s="41" t="inlineStr">
        <is>
          <t>K21</t>
        </is>
      </c>
      <c r="C459" s="41" t="inlineStr">
        <is>
          <t>Early delinquency at month 6</t>
        </is>
      </c>
      <c r="D459" s="41" t="inlineStr">
        <is>
          <t>credit</t>
        </is>
      </c>
      <c r="E459" s="41" t="inlineStr">
        <is>
          <t>pct</t>
        </is>
      </c>
      <c r="F459" s="41" t="inlineStr">
        <is>
          <t>lower</t>
        </is>
      </c>
      <c r="G459" s="65" t="n">
        <v>0.025</v>
      </c>
    </row>
    <row r="460">
      <c r="A460" s="64" t="n">
        <v>45992</v>
      </c>
      <c r="B460" s="41" t="inlineStr">
        <is>
          <t>K21</t>
        </is>
      </c>
      <c r="C460" s="41" t="inlineStr">
        <is>
          <t>Early delinquency at month 6</t>
        </is>
      </c>
      <c r="D460" s="41" t="inlineStr">
        <is>
          <t>credit</t>
        </is>
      </c>
      <c r="E460" s="41" t="inlineStr">
        <is>
          <t>pct</t>
        </is>
      </c>
      <c r="F460" s="41" t="inlineStr">
        <is>
          <t>lower</t>
        </is>
      </c>
      <c r="G460" s="65" t="n">
        <v>0.04651162790697674</v>
      </c>
    </row>
    <row r="461">
      <c r="A461" s="64" t="n">
        <v>46023</v>
      </c>
      <c r="B461" s="41" t="inlineStr">
        <is>
          <t>K21</t>
        </is>
      </c>
      <c r="C461" s="41" t="inlineStr">
        <is>
          <t>Early delinquency at month 6</t>
        </is>
      </c>
      <c r="D461" s="41" t="inlineStr">
        <is>
          <t>credit</t>
        </is>
      </c>
      <c r="E461" s="41" t="inlineStr">
        <is>
          <t>pct</t>
        </is>
      </c>
      <c r="F461" s="41" t="inlineStr">
        <is>
          <t>lower</t>
        </is>
      </c>
      <c r="G461" s="65" t="n">
        <v>0.1236842105263158</v>
      </c>
    </row>
    <row r="462">
      <c r="A462" s="64" t="n">
        <v>46054</v>
      </c>
      <c r="B462" s="41" t="inlineStr">
        <is>
          <t>K21</t>
        </is>
      </c>
      <c r="C462" s="41" t="inlineStr">
        <is>
          <t>Early delinquency at month 6</t>
        </is>
      </c>
      <c r="D462" s="41" t="inlineStr">
        <is>
          <t>credit</t>
        </is>
      </c>
      <c r="E462" s="41" t="inlineStr">
        <is>
          <t>pct</t>
        </is>
      </c>
      <c r="F462" s="41" t="inlineStr">
        <is>
          <t>lower</t>
        </is>
      </c>
      <c r="G462" s="65" t="n">
        <v>0.1014084507042254</v>
      </c>
    </row>
    <row r="463">
      <c r="A463" s="64" t="n">
        <v>46082</v>
      </c>
      <c r="B463" s="41" t="inlineStr">
        <is>
          <t>K21</t>
        </is>
      </c>
      <c r="C463" s="41" t="inlineStr">
        <is>
          <t>Early delinquency at month 6</t>
        </is>
      </c>
      <c r="D463" s="41" t="inlineStr">
        <is>
          <t>credit</t>
        </is>
      </c>
      <c r="E463" s="41" t="inlineStr">
        <is>
          <t>pct</t>
        </is>
      </c>
      <c r="F463" s="41" t="inlineStr">
        <is>
          <t>lower</t>
        </is>
      </c>
      <c r="G463" s="65" t="n">
        <v>0.1338582677165354</v>
      </c>
    </row>
    <row r="464">
      <c r="A464" s="64" t="n">
        <v>46113</v>
      </c>
      <c r="B464" s="41" t="inlineStr">
        <is>
          <t>K21</t>
        </is>
      </c>
      <c r="C464" s="41" t="inlineStr">
        <is>
          <t>Early delinquency at month 6</t>
        </is>
      </c>
      <c r="D464" s="41" t="inlineStr">
        <is>
          <t>credit</t>
        </is>
      </c>
      <c r="E464" s="41" t="inlineStr">
        <is>
          <t>pct</t>
        </is>
      </c>
      <c r="F464" s="41" t="inlineStr">
        <is>
          <t>lower</t>
        </is>
      </c>
      <c r="G464" s="65" t="n">
        <v>0.114713216957606</v>
      </c>
    </row>
    <row r="465">
      <c r="A465" s="64" t="n">
        <v>46143</v>
      </c>
      <c r="B465" s="41" t="inlineStr">
        <is>
          <t>K21</t>
        </is>
      </c>
      <c r="C465" s="41" t="inlineStr">
        <is>
          <t>Early delinquency at month 6</t>
        </is>
      </c>
      <c r="D465" s="41" t="inlineStr">
        <is>
          <t>credit</t>
        </is>
      </c>
      <c r="E465" s="41" t="inlineStr">
        <is>
          <t>pct</t>
        </is>
      </c>
      <c r="F465" s="41" t="inlineStr">
        <is>
          <t>lower</t>
        </is>
      </c>
      <c r="G465" s="65" t="n">
        <v>0.09859154929577464</v>
      </c>
    </row>
    <row r="466">
      <c r="A466" s="64" t="n">
        <v>46174</v>
      </c>
      <c r="B466" s="41" t="inlineStr">
        <is>
          <t>K21</t>
        </is>
      </c>
      <c r="C466" s="41" t="inlineStr">
        <is>
          <t>Early delinquency at month 6</t>
        </is>
      </c>
      <c r="D466" s="41" t="inlineStr">
        <is>
          <t>credit</t>
        </is>
      </c>
      <c r="E466" s="41" t="inlineStr">
        <is>
          <t>pct</t>
        </is>
      </c>
      <c r="F466" s="41" t="inlineStr">
        <is>
          <t>lower</t>
        </is>
      </c>
      <c r="G466" s="65" t="n">
        <v>0.1180722891566265</v>
      </c>
    </row>
    <row r="467">
      <c r="A467" s="64" t="n">
        <v>46204</v>
      </c>
      <c r="B467" s="41" t="inlineStr">
        <is>
          <t>K21</t>
        </is>
      </c>
      <c r="C467" s="41" t="inlineStr">
        <is>
          <t>Early delinquency at month 6</t>
        </is>
      </c>
      <c r="D467" s="41" t="inlineStr">
        <is>
          <t>credit</t>
        </is>
      </c>
      <c r="E467" s="41" t="inlineStr">
        <is>
          <t>pct</t>
        </is>
      </c>
      <c r="F467" s="41" t="inlineStr">
        <is>
          <t>lower</t>
        </is>
      </c>
      <c r="G467" s="65" t="n">
        <v>0.01769911504424779</v>
      </c>
    </row>
    <row r="468">
      <c r="A468" s="64" t="n">
        <v>46235</v>
      </c>
      <c r="B468" s="41" t="inlineStr">
        <is>
          <t>K21</t>
        </is>
      </c>
      <c r="C468" s="41" t="inlineStr">
        <is>
          <t>Early delinquency at month 6</t>
        </is>
      </c>
      <c r="D468" s="41" t="inlineStr">
        <is>
          <t>credit</t>
        </is>
      </c>
      <c r="E468" s="41" t="inlineStr">
        <is>
          <t>pct</t>
        </is>
      </c>
      <c r="F468" s="41" t="inlineStr">
        <is>
          <t>lower</t>
        </is>
      </c>
      <c r="G468" s="65" t="n">
        <v>0.03802281368821293</v>
      </c>
    </row>
    <row r="469">
      <c r="A469" s="64" t="n">
        <v>45536</v>
      </c>
      <c r="B469" s="41" t="inlineStr">
        <is>
          <t>K22</t>
        </is>
      </c>
      <c r="C469" s="41" t="inlineStr">
        <is>
          <t>Net interest income</t>
        </is>
      </c>
      <c r="D469" s="41" t="inlineStr">
        <is>
          <t>finance</t>
        </is>
      </c>
      <c r="E469" s="41" t="inlineStr">
        <is>
          <t>rm</t>
        </is>
      </c>
      <c r="F469" s="41" t="inlineStr">
        <is>
          <t>higher</t>
        </is>
      </c>
      <c r="G469" s="70" t="n">
        <v>-2011.74</v>
      </c>
    </row>
    <row r="470">
      <c r="A470" s="64" t="n">
        <v>45566</v>
      </c>
      <c r="B470" s="41" t="inlineStr">
        <is>
          <t>K22</t>
        </is>
      </c>
      <c r="C470" s="41" t="inlineStr">
        <is>
          <t>Net interest income</t>
        </is>
      </c>
      <c r="D470" s="41" t="inlineStr">
        <is>
          <t>finance</t>
        </is>
      </c>
      <c r="E470" s="41" t="inlineStr">
        <is>
          <t>rm</t>
        </is>
      </c>
      <c r="F470" s="41" t="inlineStr">
        <is>
          <t>higher</t>
        </is>
      </c>
      <c r="G470" s="70" t="n">
        <v>-6626.93</v>
      </c>
    </row>
    <row r="471">
      <c r="A471" s="64" t="n">
        <v>45597</v>
      </c>
      <c r="B471" s="41" t="inlineStr">
        <is>
          <t>K22</t>
        </is>
      </c>
      <c r="C471" s="41" t="inlineStr">
        <is>
          <t>Net interest income</t>
        </is>
      </c>
      <c r="D471" s="41" t="inlineStr">
        <is>
          <t>finance</t>
        </is>
      </c>
      <c r="E471" s="41" t="inlineStr">
        <is>
          <t>rm</t>
        </is>
      </c>
      <c r="F471" s="41" t="inlineStr">
        <is>
          <t>higher</t>
        </is>
      </c>
      <c r="G471" s="70" t="n">
        <v>-11164.29</v>
      </c>
    </row>
    <row r="472">
      <c r="A472" s="64" t="n">
        <v>45627</v>
      </c>
      <c r="B472" s="41" t="inlineStr">
        <is>
          <t>K22</t>
        </is>
      </c>
      <c r="C472" s="41" t="inlineStr">
        <is>
          <t>Net interest income</t>
        </is>
      </c>
      <c r="D472" s="41" t="inlineStr">
        <is>
          <t>finance</t>
        </is>
      </c>
      <c r="E472" s="41" t="inlineStr">
        <is>
          <t>rm</t>
        </is>
      </c>
      <c r="F472" s="41" t="inlineStr">
        <is>
          <t>higher</t>
        </is>
      </c>
      <c r="G472" s="70" t="n">
        <v>-16997.49</v>
      </c>
    </row>
    <row r="473">
      <c r="A473" s="64" t="n">
        <v>45658</v>
      </c>
      <c r="B473" s="41" t="inlineStr">
        <is>
          <t>K22</t>
        </is>
      </c>
      <c r="C473" s="41" t="inlineStr">
        <is>
          <t>Net interest income</t>
        </is>
      </c>
      <c r="D473" s="41" t="inlineStr">
        <is>
          <t>finance</t>
        </is>
      </c>
      <c r="E473" s="41" t="inlineStr">
        <is>
          <t>rm</t>
        </is>
      </c>
      <c r="F473" s="41" t="inlineStr">
        <is>
          <t>higher</t>
        </is>
      </c>
      <c r="G473" s="70" t="n">
        <v>-8703.629999999999</v>
      </c>
    </row>
    <row r="474">
      <c r="A474" s="64" t="n">
        <v>45689</v>
      </c>
      <c r="B474" s="41" t="inlineStr">
        <is>
          <t>K22</t>
        </is>
      </c>
      <c r="C474" s="41" t="inlineStr">
        <is>
          <t>Net interest income</t>
        </is>
      </c>
      <c r="D474" s="41" t="inlineStr">
        <is>
          <t>finance</t>
        </is>
      </c>
      <c r="E474" s="41" t="inlineStr">
        <is>
          <t>rm</t>
        </is>
      </c>
      <c r="F474" s="41" t="inlineStr">
        <is>
          <t>higher</t>
        </is>
      </c>
      <c r="G474" s="70" t="n">
        <v>6557.64</v>
      </c>
    </row>
    <row r="475">
      <c r="A475" s="64" t="n">
        <v>45717</v>
      </c>
      <c r="B475" s="41" t="inlineStr">
        <is>
          <t>K22</t>
        </is>
      </c>
      <c r="C475" s="41" t="inlineStr">
        <is>
          <t>Net interest income</t>
        </is>
      </c>
      <c r="D475" s="41" t="inlineStr">
        <is>
          <t>finance</t>
        </is>
      </c>
      <c r="E475" s="41" t="inlineStr">
        <is>
          <t>rm</t>
        </is>
      </c>
      <c r="F475" s="41" t="inlineStr">
        <is>
          <t>higher</t>
        </is>
      </c>
      <c r="G475" s="70" t="n">
        <v>5171.36</v>
      </c>
    </row>
    <row r="476">
      <c r="A476" s="64" t="n">
        <v>45748</v>
      </c>
      <c r="B476" s="41" t="inlineStr">
        <is>
          <t>K22</t>
        </is>
      </c>
      <c r="C476" s="41" t="inlineStr">
        <is>
          <t>Net interest income</t>
        </is>
      </c>
      <c r="D476" s="41" t="inlineStr">
        <is>
          <t>finance</t>
        </is>
      </c>
      <c r="E476" s="41" t="inlineStr">
        <is>
          <t>rm</t>
        </is>
      </c>
      <c r="F476" s="41" t="inlineStr">
        <is>
          <t>higher</t>
        </is>
      </c>
      <c r="G476" s="70" t="n">
        <v>6419.16</v>
      </c>
    </row>
    <row r="477">
      <c r="A477" s="64" t="n">
        <v>45778</v>
      </c>
      <c r="B477" s="41" t="inlineStr">
        <is>
          <t>K22</t>
        </is>
      </c>
      <c r="C477" s="41" t="inlineStr">
        <is>
          <t>Net interest income</t>
        </is>
      </c>
      <c r="D477" s="41" t="inlineStr">
        <is>
          <t>finance</t>
        </is>
      </c>
      <c r="E477" s="41" t="inlineStr">
        <is>
          <t>rm</t>
        </is>
      </c>
      <c r="F477" s="41" t="inlineStr">
        <is>
          <t>higher</t>
        </is>
      </c>
      <c r="G477" s="70" t="n">
        <v>-2719.95</v>
      </c>
    </row>
    <row r="478">
      <c r="A478" s="64" t="n">
        <v>45809</v>
      </c>
      <c r="B478" s="41" t="inlineStr">
        <is>
          <t>K22</t>
        </is>
      </c>
      <c r="C478" s="41" t="inlineStr">
        <is>
          <t>Net interest income</t>
        </is>
      </c>
      <c r="D478" s="41" t="inlineStr">
        <is>
          <t>finance</t>
        </is>
      </c>
      <c r="E478" s="41" t="inlineStr">
        <is>
          <t>rm</t>
        </is>
      </c>
      <c r="F478" s="41" t="inlineStr">
        <is>
          <t>higher</t>
        </is>
      </c>
      <c r="G478" s="70" t="n">
        <v>3672.47</v>
      </c>
    </row>
    <row r="479">
      <c r="A479" s="64" t="n">
        <v>45839</v>
      </c>
      <c r="B479" s="41" t="inlineStr">
        <is>
          <t>K22</t>
        </is>
      </c>
      <c r="C479" s="41" t="inlineStr">
        <is>
          <t>Net interest income</t>
        </is>
      </c>
      <c r="D479" s="41" t="inlineStr">
        <is>
          <t>finance</t>
        </is>
      </c>
      <c r="E479" s="41" t="inlineStr">
        <is>
          <t>rm</t>
        </is>
      </c>
      <c r="F479" s="41" t="inlineStr">
        <is>
          <t>higher</t>
        </is>
      </c>
      <c r="G479" s="70" t="n">
        <v>27817.01</v>
      </c>
    </row>
    <row r="480">
      <c r="A480" s="64" t="n">
        <v>45870</v>
      </c>
      <c r="B480" s="41" t="inlineStr">
        <is>
          <t>K22</t>
        </is>
      </c>
      <c r="C480" s="41" t="inlineStr">
        <is>
          <t>Net interest income</t>
        </is>
      </c>
      <c r="D480" s="41" t="inlineStr">
        <is>
          <t>finance</t>
        </is>
      </c>
      <c r="E480" s="41" t="inlineStr">
        <is>
          <t>rm</t>
        </is>
      </c>
      <c r="F480" s="41" t="inlineStr">
        <is>
          <t>higher</t>
        </is>
      </c>
      <c r="G480" s="70" t="n">
        <v>56807.11</v>
      </c>
    </row>
    <row r="481">
      <c r="A481" s="64" t="n">
        <v>45901</v>
      </c>
      <c r="B481" s="41" t="inlineStr">
        <is>
          <t>K22</t>
        </is>
      </c>
      <c r="C481" s="41" t="inlineStr">
        <is>
          <t>Net interest income</t>
        </is>
      </c>
      <c r="D481" s="41" t="inlineStr">
        <is>
          <t>finance</t>
        </is>
      </c>
      <c r="E481" s="41" t="inlineStr">
        <is>
          <t>rm</t>
        </is>
      </c>
      <c r="F481" s="41" t="inlineStr">
        <is>
          <t>higher</t>
        </is>
      </c>
      <c r="G481" s="70" t="n">
        <v>88174.69</v>
      </c>
    </row>
    <row r="482">
      <c r="A482" s="64" t="n">
        <v>45931</v>
      </c>
      <c r="B482" s="41" t="inlineStr">
        <is>
          <t>K22</t>
        </is>
      </c>
      <c r="C482" s="41" t="inlineStr">
        <is>
          <t>Net interest income</t>
        </is>
      </c>
      <c r="D482" s="41" t="inlineStr">
        <is>
          <t>finance</t>
        </is>
      </c>
      <c r="E482" s="41" t="inlineStr">
        <is>
          <t>rm</t>
        </is>
      </c>
      <c r="F482" s="41" t="inlineStr">
        <is>
          <t>higher</t>
        </is>
      </c>
      <c r="G482" s="70" t="n">
        <v>120680.23</v>
      </c>
    </row>
    <row r="483">
      <c r="A483" s="64" t="n">
        <v>45962</v>
      </c>
      <c r="B483" s="41" t="inlineStr">
        <is>
          <t>K22</t>
        </is>
      </c>
      <c r="C483" s="41" t="inlineStr">
        <is>
          <t>Net interest income</t>
        </is>
      </c>
      <c r="D483" s="41" t="inlineStr">
        <is>
          <t>finance</t>
        </is>
      </c>
      <c r="E483" s="41" t="inlineStr">
        <is>
          <t>rm</t>
        </is>
      </c>
      <c r="F483" s="41" t="inlineStr">
        <is>
          <t>higher</t>
        </is>
      </c>
      <c r="G483" s="70" t="n">
        <v>159961.71</v>
      </c>
    </row>
    <row r="484">
      <c r="A484" s="64" t="n">
        <v>45992</v>
      </c>
      <c r="B484" s="41" t="inlineStr">
        <is>
          <t>K22</t>
        </is>
      </c>
      <c r="C484" s="41" t="inlineStr">
        <is>
          <t>Net interest income</t>
        </is>
      </c>
      <c r="D484" s="41" t="inlineStr">
        <is>
          <t>finance</t>
        </is>
      </c>
      <c r="E484" s="41" t="inlineStr">
        <is>
          <t>rm</t>
        </is>
      </c>
      <c r="F484" s="41" t="inlineStr">
        <is>
          <t>higher</t>
        </is>
      </c>
      <c r="G484" s="70" t="n">
        <v>184408.46</v>
      </c>
    </row>
    <row r="485">
      <c r="A485" s="64" t="n">
        <v>46023</v>
      </c>
      <c r="B485" s="41" t="inlineStr">
        <is>
          <t>K22</t>
        </is>
      </c>
      <c r="C485" s="41" t="inlineStr">
        <is>
          <t>Net interest income</t>
        </is>
      </c>
      <c r="D485" s="41" t="inlineStr">
        <is>
          <t>finance</t>
        </is>
      </c>
      <c r="E485" s="41" t="inlineStr">
        <is>
          <t>rm</t>
        </is>
      </c>
      <c r="F485" s="41" t="inlineStr">
        <is>
          <t>higher</t>
        </is>
      </c>
      <c r="G485" s="70" t="n">
        <v>186354.93</v>
      </c>
    </row>
    <row r="486">
      <c r="A486" s="64" t="n">
        <v>46054</v>
      </c>
      <c r="B486" s="41" t="inlineStr">
        <is>
          <t>K22</t>
        </is>
      </c>
      <c r="C486" s="41" t="inlineStr">
        <is>
          <t>Net interest income</t>
        </is>
      </c>
      <c r="D486" s="41" t="inlineStr">
        <is>
          <t>finance</t>
        </is>
      </c>
      <c r="E486" s="41" t="inlineStr">
        <is>
          <t>rm</t>
        </is>
      </c>
      <c r="F486" s="41" t="inlineStr">
        <is>
          <t>higher</t>
        </is>
      </c>
      <c r="G486" s="70" t="n">
        <v>206253.37</v>
      </c>
    </row>
    <row r="487">
      <c r="A487" s="64" t="n">
        <v>46082</v>
      </c>
      <c r="B487" s="41" t="inlineStr">
        <is>
          <t>K22</t>
        </is>
      </c>
      <c r="C487" s="41" t="inlineStr">
        <is>
          <t>Net interest income</t>
        </is>
      </c>
      <c r="D487" s="41" t="inlineStr">
        <is>
          <t>finance</t>
        </is>
      </c>
      <c r="E487" s="41" t="inlineStr">
        <is>
          <t>rm</t>
        </is>
      </c>
      <c r="F487" s="41" t="inlineStr">
        <is>
          <t>higher</t>
        </is>
      </c>
      <c r="G487" s="70" t="n">
        <v>190286.14</v>
      </c>
    </row>
    <row r="488">
      <c r="A488" s="64" t="n">
        <v>46113</v>
      </c>
      <c r="B488" s="41" t="inlineStr">
        <is>
          <t>K22</t>
        </is>
      </c>
      <c r="C488" s="41" t="inlineStr">
        <is>
          <t>Net interest income</t>
        </is>
      </c>
      <c r="D488" s="41" t="inlineStr">
        <is>
          <t>finance</t>
        </is>
      </c>
      <c r="E488" s="41" t="inlineStr">
        <is>
          <t>rm</t>
        </is>
      </c>
      <c r="F488" s="41" t="inlineStr">
        <is>
          <t>higher</t>
        </is>
      </c>
      <c r="G488" s="70" t="n">
        <v>199625.32</v>
      </c>
    </row>
    <row r="489">
      <c r="A489" s="64" t="n">
        <v>46143</v>
      </c>
      <c r="B489" s="41" t="inlineStr">
        <is>
          <t>K22</t>
        </is>
      </c>
      <c r="C489" s="41" t="inlineStr">
        <is>
          <t>Net interest income</t>
        </is>
      </c>
      <c r="D489" s="41" t="inlineStr">
        <is>
          <t>finance</t>
        </is>
      </c>
      <c r="E489" s="41" t="inlineStr">
        <is>
          <t>rm</t>
        </is>
      </c>
      <c r="F489" s="41" t="inlineStr">
        <is>
          <t>higher</t>
        </is>
      </c>
      <c r="G489" s="70" t="n">
        <v>193980.32</v>
      </c>
    </row>
    <row r="490">
      <c r="A490" s="64" t="n">
        <v>46174</v>
      </c>
      <c r="B490" s="41" t="inlineStr">
        <is>
          <t>K22</t>
        </is>
      </c>
      <c r="C490" s="41" t="inlineStr">
        <is>
          <t>Net interest income</t>
        </is>
      </c>
      <c r="D490" s="41" t="inlineStr">
        <is>
          <t>finance</t>
        </is>
      </c>
      <c r="E490" s="41" t="inlineStr">
        <is>
          <t>rm</t>
        </is>
      </c>
      <c r="F490" s="41" t="inlineStr">
        <is>
          <t>higher</t>
        </is>
      </c>
      <c r="G490" s="70" t="n">
        <v>198004.88</v>
      </c>
    </row>
    <row r="491">
      <c r="A491" s="64" t="n">
        <v>46204</v>
      </c>
      <c r="B491" s="41" t="inlineStr">
        <is>
          <t>K22</t>
        </is>
      </c>
      <c r="C491" s="41" t="inlineStr">
        <is>
          <t>Net interest income</t>
        </is>
      </c>
      <c r="D491" s="41" t="inlineStr">
        <is>
          <t>finance</t>
        </is>
      </c>
      <c r="E491" s="41" t="inlineStr">
        <is>
          <t>rm</t>
        </is>
      </c>
      <c r="F491" s="41" t="inlineStr">
        <is>
          <t>higher</t>
        </is>
      </c>
      <c r="G491" s="70" t="n">
        <v>186662.23</v>
      </c>
    </row>
    <row r="492">
      <c r="A492" s="64" t="n">
        <v>46235</v>
      </c>
      <c r="B492" s="41" t="inlineStr">
        <is>
          <t>K22</t>
        </is>
      </c>
      <c r="C492" s="41" t="inlineStr">
        <is>
          <t>Net interest income</t>
        </is>
      </c>
      <c r="D492" s="41" t="inlineStr">
        <is>
          <t>finance</t>
        </is>
      </c>
      <c r="E492" s="41" t="inlineStr">
        <is>
          <t>rm</t>
        </is>
      </c>
      <c r="F492" s="41" t="inlineStr">
        <is>
          <t>higher</t>
        </is>
      </c>
      <c r="G492" s="70" t="n">
        <v>182302.05</v>
      </c>
    </row>
  </sheetData>
  <autoFilter ref="A1:G492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B9B8B0"/>
    <outlinePr summaryBelow="1" summaryRight="1"/>
    <pageSetUpPr/>
  </sheetPr>
  <dimension ref="A1:E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16" customWidth="1" min="4" max="4"/>
    <col width="60" customWidth="1" min="5" max="5"/>
  </cols>
  <sheetData>
    <row r="1">
      <c r="A1" s="17" t="inlineStr">
        <is>
          <t>month_start</t>
        </is>
      </c>
      <c r="B1" s="17" t="inlineStr">
        <is>
          <t>kpi_id</t>
        </is>
      </c>
      <c r="C1" s="17" t="inlineStr">
        <is>
          <t>kpi_name</t>
        </is>
      </c>
      <c r="D1" s="17" t="inlineStr">
        <is>
          <t>plan_value</t>
        </is>
      </c>
      <c r="E1" s="17" t="inlineStr">
        <is>
          <t>note</t>
        </is>
      </c>
    </row>
    <row r="2">
      <c r="A2" s="64" t="n">
        <v>45536</v>
      </c>
      <c r="B2" s="41" t="inlineStr">
        <is>
          <t>K02</t>
        </is>
      </c>
      <c r="C2" s="41" t="inlineStr">
        <is>
          <t>New customers</t>
        </is>
      </c>
      <c r="D2" s="7" t="n">
        <v>800</v>
      </c>
      <c r="E2" s="41" t="inlineStr">
        <is>
          <t>FY plan</t>
        </is>
      </c>
    </row>
    <row r="3">
      <c r="A3" s="64" t="n">
        <v>45566</v>
      </c>
      <c r="B3" s="41" t="inlineStr">
        <is>
          <t>K02</t>
        </is>
      </c>
      <c r="C3" s="41" t="inlineStr">
        <is>
          <t>New customers</t>
        </is>
      </c>
      <c r="D3" s="7" t="n">
        <v>850</v>
      </c>
      <c r="E3" s="41" t="inlineStr">
        <is>
          <t>FY plan</t>
        </is>
      </c>
    </row>
    <row r="4">
      <c r="A4" s="64" t="n">
        <v>45597</v>
      </c>
      <c r="B4" s="41" t="inlineStr">
        <is>
          <t>K02</t>
        </is>
      </c>
      <c r="C4" s="41" t="inlineStr">
        <is>
          <t>New customers</t>
        </is>
      </c>
      <c r="D4" s="7" t="n">
        <v>950</v>
      </c>
      <c r="E4" s="41" t="inlineStr">
        <is>
          <t>FY plan</t>
        </is>
      </c>
    </row>
    <row r="5">
      <c r="A5" s="64" t="n">
        <v>45627</v>
      </c>
      <c r="B5" s="41" t="inlineStr">
        <is>
          <t>K02</t>
        </is>
      </c>
      <c r="C5" s="41" t="inlineStr">
        <is>
          <t>New customers</t>
        </is>
      </c>
      <c r="D5" s="7" t="n">
        <v>1000</v>
      </c>
      <c r="E5" s="41" t="inlineStr">
        <is>
          <t>FY plan</t>
        </is>
      </c>
    </row>
    <row r="6">
      <c r="A6" s="64" t="n">
        <v>45658</v>
      </c>
      <c r="B6" s="41" t="inlineStr">
        <is>
          <t>K02</t>
        </is>
      </c>
      <c r="C6" s="41" t="inlineStr">
        <is>
          <t>New customers</t>
        </is>
      </c>
      <c r="D6" s="7" t="n">
        <v>1000</v>
      </c>
      <c r="E6" s="41" t="inlineStr">
        <is>
          <t>FY plan</t>
        </is>
      </c>
    </row>
    <row r="7">
      <c r="A7" s="64" t="n">
        <v>45689</v>
      </c>
      <c r="B7" s="41" t="inlineStr">
        <is>
          <t>K02</t>
        </is>
      </c>
      <c r="C7" s="41" t="inlineStr">
        <is>
          <t>New customers</t>
        </is>
      </c>
      <c r="D7" s="7" t="n">
        <v>1050</v>
      </c>
      <c r="E7" s="41" t="inlineStr">
        <is>
          <t>FY plan</t>
        </is>
      </c>
    </row>
    <row r="8">
      <c r="A8" s="64" t="n">
        <v>45717</v>
      </c>
      <c r="B8" s="41" t="inlineStr">
        <is>
          <t>K02</t>
        </is>
      </c>
      <c r="C8" s="41" t="inlineStr">
        <is>
          <t>New customers</t>
        </is>
      </c>
      <c r="D8" s="7" t="n">
        <v>1100</v>
      </c>
      <c r="E8" s="41" t="inlineStr">
        <is>
          <t>FY plan</t>
        </is>
      </c>
    </row>
    <row r="9">
      <c r="A9" s="64" t="n">
        <v>45748</v>
      </c>
      <c r="B9" s="41" t="inlineStr">
        <is>
          <t>K02</t>
        </is>
      </c>
      <c r="C9" s="41" t="inlineStr">
        <is>
          <t>New customers</t>
        </is>
      </c>
      <c r="D9" s="7" t="n">
        <v>1150</v>
      </c>
      <c r="E9" s="41" t="inlineStr">
        <is>
          <t>FY plan</t>
        </is>
      </c>
    </row>
    <row r="10">
      <c r="A10" s="64" t="n">
        <v>45778</v>
      </c>
      <c r="B10" s="41" t="inlineStr">
        <is>
          <t>K02</t>
        </is>
      </c>
      <c r="C10" s="41" t="inlineStr">
        <is>
          <t>New customers</t>
        </is>
      </c>
      <c r="D10" s="7" t="n">
        <v>1200</v>
      </c>
      <c r="E10" s="41" t="inlineStr">
        <is>
          <t>FY plan</t>
        </is>
      </c>
    </row>
    <row r="11">
      <c r="A11" s="64" t="n">
        <v>45809</v>
      </c>
      <c r="B11" s="41" t="inlineStr">
        <is>
          <t>K02</t>
        </is>
      </c>
      <c r="C11" s="41" t="inlineStr">
        <is>
          <t>New customers</t>
        </is>
      </c>
      <c r="D11" s="7" t="n">
        <v>1250</v>
      </c>
      <c r="E11" s="41" t="inlineStr">
        <is>
          <t>FY plan</t>
        </is>
      </c>
    </row>
    <row r="12">
      <c r="A12" s="64" t="n">
        <v>45839</v>
      </c>
      <c r="B12" s="41" t="inlineStr">
        <is>
          <t>K02</t>
        </is>
      </c>
      <c r="C12" s="41" t="inlineStr">
        <is>
          <t>New customers</t>
        </is>
      </c>
      <c r="D12" s="7" t="n">
        <v>1300</v>
      </c>
      <c r="E12" s="41" t="inlineStr">
        <is>
          <t>FY plan</t>
        </is>
      </c>
    </row>
    <row r="13">
      <c r="A13" s="64" t="n">
        <v>45870</v>
      </c>
      <c r="B13" s="41" t="inlineStr">
        <is>
          <t>K02</t>
        </is>
      </c>
      <c r="C13" s="41" t="inlineStr">
        <is>
          <t>New customers</t>
        </is>
      </c>
      <c r="D13" s="7" t="n">
        <v>1300</v>
      </c>
      <c r="E13" s="41" t="inlineStr">
        <is>
          <t>FY plan</t>
        </is>
      </c>
    </row>
    <row r="14">
      <c r="A14" s="64" t="n">
        <v>45901</v>
      </c>
      <c r="B14" s="41" t="inlineStr">
        <is>
          <t>K02</t>
        </is>
      </c>
      <c r="C14" s="41" t="inlineStr">
        <is>
          <t>New customers</t>
        </is>
      </c>
      <c r="D14" s="7" t="n">
        <v>1350</v>
      </c>
      <c r="E14" s="41" t="inlineStr">
        <is>
          <t>FY plan</t>
        </is>
      </c>
    </row>
    <row r="15">
      <c r="A15" s="64" t="n">
        <v>45931</v>
      </c>
      <c r="B15" s="41" t="inlineStr">
        <is>
          <t>K02</t>
        </is>
      </c>
      <c r="C15" s="41" t="inlineStr">
        <is>
          <t>New customers</t>
        </is>
      </c>
      <c r="D15" s="7" t="n">
        <v>1400</v>
      </c>
      <c r="E15" s="41" t="inlineStr">
        <is>
          <t>FY plan</t>
        </is>
      </c>
    </row>
    <row r="16">
      <c r="A16" s="64" t="n">
        <v>45962</v>
      </c>
      <c r="B16" s="41" t="inlineStr">
        <is>
          <t>K02</t>
        </is>
      </c>
      <c r="C16" s="41" t="inlineStr">
        <is>
          <t>New customers</t>
        </is>
      </c>
      <c r="D16" s="7" t="n">
        <v>1450</v>
      </c>
      <c r="E16" s="41" t="inlineStr">
        <is>
          <t>FY plan</t>
        </is>
      </c>
    </row>
    <row r="17">
      <c r="A17" s="64" t="n">
        <v>45992</v>
      </c>
      <c r="B17" s="41" t="inlineStr">
        <is>
          <t>K02</t>
        </is>
      </c>
      <c r="C17" s="41" t="inlineStr">
        <is>
          <t>New customers</t>
        </is>
      </c>
      <c r="D17" s="7" t="n">
        <v>1550</v>
      </c>
      <c r="E17" s="41" t="inlineStr">
        <is>
          <t>FY plan</t>
        </is>
      </c>
    </row>
    <row r="18">
      <c r="A18" s="64" t="n">
        <v>46023</v>
      </c>
      <c r="B18" s="41" t="inlineStr">
        <is>
          <t>K02</t>
        </is>
      </c>
      <c r="C18" s="41" t="inlineStr">
        <is>
          <t>New customers</t>
        </is>
      </c>
      <c r="D18" s="7" t="n">
        <v>1600</v>
      </c>
      <c r="E18" s="41" t="inlineStr">
        <is>
          <t>FY plan</t>
        </is>
      </c>
    </row>
    <row r="19">
      <c r="A19" s="64" t="n">
        <v>46054</v>
      </c>
      <c r="B19" s="41" t="inlineStr">
        <is>
          <t>K02</t>
        </is>
      </c>
      <c r="C19" s="41" t="inlineStr">
        <is>
          <t>New customers</t>
        </is>
      </c>
      <c r="D19" s="7" t="n">
        <v>1650</v>
      </c>
      <c r="E19" s="41" t="inlineStr">
        <is>
          <t>FY plan</t>
        </is>
      </c>
    </row>
    <row r="20">
      <c r="A20" s="64" t="n">
        <v>46082</v>
      </c>
      <c r="B20" s="41" t="inlineStr">
        <is>
          <t>K02</t>
        </is>
      </c>
      <c r="C20" s="41" t="inlineStr">
        <is>
          <t>New customers</t>
        </is>
      </c>
      <c r="D20" s="7" t="n">
        <v>1700</v>
      </c>
      <c r="E20" s="41" t="inlineStr">
        <is>
          <t>FY plan</t>
        </is>
      </c>
    </row>
    <row r="21">
      <c r="A21" s="64" t="n">
        <v>46113</v>
      </c>
      <c r="B21" s="41" t="inlineStr">
        <is>
          <t>K02</t>
        </is>
      </c>
      <c r="C21" s="41" t="inlineStr">
        <is>
          <t>New customers</t>
        </is>
      </c>
      <c r="D21" s="7" t="n">
        <v>1750</v>
      </c>
      <c r="E21" s="41" t="inlineStr">
        <is>
          <t>FY plan</t>
        </is>
      </c>
    </row>
    <row r="22">
      <c r="A22" s="64" t="n">
        <v>46143</v>
      </c>
      <c r="B22" s="41" t="inlineStr">
        <is>
          <t>K02</t>
        </is>
      </c>
      <c r="C22" s="41" t="inlineStr">
        <is>
          <t>New customers</t>
        </is>
      </c>
      <c r="D22" s="7" t="n">
        <v>1800</v>
      </c>
      <c r="E22" s="41" t="inlineStr">
        <is>
          <t>FY plan</t>
        </is>
      </c>
    </row>
    <row r="23">
      <c r="A23" s="64" t="n">
        <v>46174</v>
      </c>
      <c r="B23" s="41" t="inlineStr">
        <is>
          <t>K02</t>
        </is>
      </c>
      <c r="C23" s="41" t="inlineStr">
        <is>
          <t>New customers</t>
        </is>
      </c>
      <c r="D23" s="7" t="n">
        <v>1850</v>
      </c>
      <c r="E23" s="41" t="inlineStr">
        <is>
          <t>FY plan</t>
        </is>
      </c>
    </row>
    <row r="24">
      <c r="A24" s="64" t="n">
        <v>46204</v>
      </c>
      <c r="B24" s="41" t="inlineStr">
        <is>
          <t>K02</t>
        </is>
      </c>
      <c r="C24" s="41" t="inlineStr">
        <is>
          <t>New customers</t>
        </is>
      </c>
      <c r="D24" s="7" t="n">
        <v>1900</v>
      </c>
      <c r="E24" s="41" t="inlineStr">
        <is>
          <t>FY plan</t>
        </is>
      </c>
    </row>
    <row r="25">
      <c r="A25" s="64" t="n">
        <v>46235</v>
      </c>
      <c r="B25" s="41" t="inlineStr">
        <is>
          <t>K02</t>
        </is>
      </c>
      <c r="C25" s="41" t="inlineStr">
        <is>
          <t>New customers</t>
        </is>
      </c>
      <c r="D25" s="7" t="n">
        <v>1950</v>
      </c>
      <c r="E25" s="41" t="inlineStr">
        <is>
          <t>FY plan</t>
        </is>
      </c>
    </row>
    <row r="26">
      <c r="A26" s="64" t="n">
        <v>45536</v>
      </c>
      <c r="B26" s="41" t="inlineStr">
        <is>
          <t>K07</t>
        </is>
      </c>
      <c r="C26" s="41" t="inlineStr">
        <is>
          <t>Monthly active customers</t>
        </is>
      </c>
      <c r="D26" s="7" t="n">
        <v>700</v>
      </c>
      <c r="E26" s="41" t="inlineStr">
        <is>
          <t>FY plan</t>
        </is>
      </c>
    </row>
    <row r="27">
      <c r="A27" s="64" t="n">
        <v>45566</v>
      </c>
      <c r="B27" s="41" t="inlineStr">
        <is>
          <t>K07</t>
        </is>
      </c>
      <c r="C27" s="41" t="inlineStr">
        <is>
          <t>Monthly active customers</t>
        </is>
      </c>
      <c r="D27" s="7" t="n">
        <v>1400</v>
      </c>
      <c r="E27" s="41" t="inlineStr">
        <is>
          <t>FY plan</t>
        </is>
      </c>
    </row>
    <row r="28">
      <c r="A28" s="64" t="n">
        <v>45597</v>
      </c>
      <c r="B28" s="41" t="inlineStr">
        <is>
          <t>K07</t>
        </is>
      </c>
      <c r="C28" s="41" t="inlineStr">
        <is>
          <t>Monthly active customers</t>
        </is>
      </c>
      <c r="D28" s="7" t="n">
        <v>2100</v>
      </c>
      <c r="E28" s="41" t="inlineStr">
        <is>
          <t>FY plan</t>
        </is>
      </c>
    </row>
    <row r="29">
      <c r="A29" s="64" t="n">
        <v>45627</v>
      </c>
      <c r="B29" s="41" t="inlineStr">
        <is>
          <t>K07</t>
        </is>
      </c>
      <c r="C29" s="41" t="inlineStr">
        <is>
          <t>Monthly active customers</t>
        </is>
      </c>
      <c r="D29" s="7" t="n">
        <v>2800</v>
      </c>
      <c r="E29" s="41" t="inlineStr">
        <is>
          <t>FY plan</t>
        </is>
      </c>
    </row>
    <row r="30">
      <c r="A30" s="64" t="n">
        <v>45658</v>
      </c>
      <c r="B30" s="41" t="inlineStr">
        <is>
          <t>K07</t>
        </is>
      </c>
      <c r="C30" s="41" t="inlineStr">
        <is>
          <t>Monthly active customers</t>
        </is>
      </c>
      <c r="D30" s="7" t="n">
        <v>3400</v>
      </c>
      <c r="E30" s="41" t="inlineStr">
        <is>
          <t>FY plan</t>
        </is>
      </c>
    </row>
    <row r="31">
      <c r="A31" s="64" t="n">
        <v>45689</v>
      </c>
      <c r="B31" s="41" t="inlineStr">
        <is>
          <t>K07</t>
        </is>
      </c>
      <c r="C31" s="41" t="inlineStr">
        <is>
          <t>Monthly active customers</t>
        </is>
      </c>
      <c r="D31" s="7" t="n">
        <v>4000</v>
      </c>
      <c r="E31" s="41" t="inlineStr">
        <is>
          <t>FY plan</t>
        </is>
      </c>
    </row>
    <row r="32">
      <c r="A32" s="64" t="n">
        <v>45717</v>
      </c>
      <c r="B32" s="41" t="inlineStr">
        <is>
          <t>K07</t>
        </is>
      </c>
      <c r="C32" s="41" t="inlineStr">
        <is>
          <t>Monthly active customers</t>
        </is>
      </c>
      <c r="D32" s="7" t="n">
        <v>4700</v>
      </c>
      <c r="E32" s="41" t="inlineStr">
        <is>
          <t>FY plan</t>
        </is>
      </c>
    </row>
    <row r="33">
      <c r="A33" s="64" t="n">
        <v>45748</v>
      </c>
      <c r="B33" s="41" t="inlineStr">
        <is>
          <t>K07</t>
        </is>
      </c>
      <c r="C33" s="41" t="inlineStr">
        <is>
          <t>Monthly active customers</t>
        </is>
      </c>
      <c r="D33" s="7" t="n">
        <v>5400</v>
      </c>
      <c r="E33" s="41" t="inlineStr">
        <is>
          <t>FY plan</t>
        </is>
      </c>
    </row>
    <row r="34">
      <c r="A34" s="64" t="n">
        <v>45778</v>
      </c>
      <c r="B34" s="41" t="inlineStr">
        <is>
          <t>K07</t>
        </is>
      </c>
      <c r="C34" s="41" t="inlineStr">
        <is>
          <t>Monthly active customers</t>
        </is>
      </c>
      <c r="D34" s="7" t="n">
        <v>6100</v>
      </c>
      <c r="E34" s="41" t="inlineStr">
        <is>
          <t>FY plan</t>
        </is>
      </c>
    </row>
    <row r="35">
      <c r="A35" s="64" t="n">
        <v>45809</v>
      </c>
      <c r="B35" s="41" t="inlineStr">
        <is>
          <t>K07</t>
        </is>
      </c>
      <c r="C35" s="41" t="inlineStr">
        <is>
          <t>Monthly active customers</t>
        </is>
      </c>
      <c r="D35" s="7" t="n">
        <v>6800</v>
      </c>
      <c r="E35" s="41" t="inlineStr">
        <is>
          <t>FY plan</t>
        </is>
      </c>
    </row>
    <row r="36">
      <c r="A36" s="64" t="n">
        <v>45839</v>
      </c>
      <c r="B36" s="41" t="inlineStr">
        <is>
          <t>K07</t>
        </is>
      </c>
      <c r="C36" s="41" t="inlineStr">
        <is>
          <t>Monthly active customers</t>
        </is>
      </c>
      <c r="D36" s="7" t="n">
        <v>7500</v>
      </c>
      <c r="E36" s="41" t="inlineStr">
        <is>
          <t>FY plan</t>
        </is>
      </c>
    </row>
    <row r="37">
      <c r="A37" s="64" t="n">
        <v>45870</v>
      </c>
      <c r="B37" s="41" t="inlineStr">
        <is>
          <t>K07</t>
        </is>
      </c>
      <c r="C37" s="41" t="inlineStr">
        <is>
          <t>Monthly active customers</t>
        </is>
      </c>
      <c r="D37" s="7" t="n">
        <v>8200</v>
      </c>
      <c r="E37" s="41" t="inlineStr">
        <is>
          <t>FY plan</t>
        </is>
      </c>
    </row>
    <row r="38">
      <c r="A38" s="64" t="n">
        <v>45901</v>
      </c>
      <c r="B38" s="41" t="inlineStr">
        <is>
          <t>K07</t>
        </is>
      </c>
      <c r="C38" s="41" t="inlineStr">
        <is>
          <t>Monthly active customers</t>
        </is>
      </c>
      <c r="D38" s="7" t="n">
        <v>8900</v>
      </c>
      <c r="E38" s="41" t="inlineStr">
        <is>
          <t>FY plan</t>
        </is>
      </c>
    </row>
    <row r="39">
      <c r="A39" s="64" t="n">
        <v>45931</v>
      </c>
      <c r="B39" s="41" t="inlineStr">
        <is>
          <t>K07</t>
        </is>
      </c>
      <c r="C39" s="41" t="inlineStr">
        <is>
          <t>Monthly active customers</t>
        </is>
      </c>
      <c r="D39" s="7" t="n">
        <v>9700</v>
      </c>
      <c r="E39" s="41" t="inlineStr">
        <is>
          <t>FY plan</t>
        </is>
      </c>
    </row>
    <row r="40">
      <c r="A40" s="64" t="n">
        <v>45962</v>
      </c>
      <c r="B40" s="41" t="inlineStr">
        <is>
          <t>K07</t>
        </is>
      </c>
      <c r="C40" s="41" t="inlineStr">
        <is>
          <t>Monthly active customers</t>
        </is>
      </c>
      <c r="D40" s="7" t="n">
        <v>10500</v>
      </c>
      <c r="E40" s="41" t="inlineStr">
        <is>
          <t>FY plan</t>
        </is>
      </c>
    </row>
    <row r="41">
      <c r="A41" s="64" t="n">
        <v>45992</v>
      </c>
      <c r="B41" s="41" t="inlineStr">
        <is>
          <t>K07</t>
        </is>
      </c>
      <c r="C41" s="41" t="inlineStr">
        <is>
          <t>Monthly active customers</t>
        </is>
      </c>
      <c r="D41" s="7" t="n">
        <v>11300</v>
      </c>
      <c r="E41" s="41" t="inlineStr">
        <is>
          <t>FY plan</t>
        </is>
      </c>
    </row>
    <row r="42">
      <c r="A42" s="64" t="n">
        <v>46023</v>
      </c>
      <c r="B42" s="41" t="inlineStr">
        <is>
          <t>K07</t>
        </is>
      </c>
      <c r="C42" s="41" t="inlineStr">
        <is>
          <t>Monthly active customers</t>
        </is>
      </c>
      <c r="D42" s="7" t="n">
        <v>12100</v>
      </c>
      <c r="E42" s="41" t="inlineStr">
        <is>
          <t>FY plan</t>
        </is>
      </c>
    </row>
    <row r="43">
      <c r="A43" s="64" t="n">
        <v>46054</v>
      </c>
      <c r="B43" s="41" t="inlineStr">
        <is>
          <t>K07</t>
        </is>
      </c>
      <c r="C43" s="41" t="inlineStr">
        <is>
          <t>Monthly active customers</t>
        </is>
      </c>
      <c r="D43" s="7" t="n">
        <v>12900</v>
      </c>
      <c r="E43" s="41" t="inlineStr">
        <is>
          <t>FY plan</t>
        </is>
      </c>
    </row>
    <row r="44">
      <c r="A44" s="64" t="n">
        <v>46082</v>
      </c>
      <c r="B44" s="41" t="inlineStr">
        <is>
          <t>K07</t>
        </is>
      </c>
      <c r="C44" s="41" t="inlineStr">
        <is>
          <t>Monthly active customers</t>
        </is>
      </c>
      <c r="D44" s="7" t="n">
        <v>13700</v>
      </c>
      <c r="E44" s="41" t="inlineStr">
        <is>
          <t>FY plan</t>
        </is>
      </c>
    </row>
    <row r="45">
      <c r="A45" s="64" t="n">
        <v>46113</v>
      </c>
      <c r="B45" s="41" t="inlineStr">
        <is>
          <t>K07</t>
        </is>
      </c>
      <c r="C45" s="41" t="inlineStr">
        <is>
          <t>Monthly active customers</t>
        </is>
      </c>
      <c r="D45" s="7" t="n">
        <v>14500</v>
      </c>
      <c r="E45" s="41" t="inlineStr">
        <is>
          <t>FY plan</t>
        </is>
      </c>
    </row>
    <row r="46">
      <c r="A46" s="64" t="n">
        <v>46143</v>
      </c>
      <c r="B46" s="41" t="inlineStr">
        <is>
          <t>K07</t>
        </is>
      </c>
      <c r="C46" s="41" t="inlineStr">
        <is>
          <t>Monthly active customers</t>
        </is>
      </c>
      <c r="D46" s="7" t="n">
        <v>15300</v>
      </c>
      <c r="E46" s="41" t="inlineStr">
        <is>
          <t>FY plan</t>
        </is>
      </c>
    </row>
    <row r="47">
      <c r="A47" s="64" t="n">
        <v>46174</v>
      </c>
      <c r="B47" s="41" t="inlineStr">
        <is>
          <t>K07</t>
        </is>
      </c>
      <c r="C47" s="41" t="inlineStr">
        <is>
          <t>Monthly active customers</t>
        </is>
      </c>
      <c r="D47" s="7" t="n">
        <v>16200</v>
      </c>
      <c r="E47" s="41" t="inlineStr">
        <is>
          <t>FY plan</t>
        </is>
      </c>
    </row>
    <row r="48">
      <c r="A48" s="64" t="n">
        <v>46204</v>
      </c>
      <c r="B48" s="41" t="inlineStr">
        <is>
          <t>K07</t>
        </is>
      </c>
      <c r="C48" s="41" t="inlineStr">
        <is>
          <t>Monthly active customers</t>
        </is>
      </c>
      <c r="D48" s="7" t="n">
        <v>17100</v>
      </c>
      <c r="E48" s="41" t="inlineStr">
        <is>
          <t>FY plan</t>
        </is>
      </c>
    </row>
    <row r="49">
      <c r="A49" s="64" t="n">
        <v>46235</v>
      </c>
      <c r="B49" s="41" t="inlineStr">
        <is>
          <t>K07</t>
        </is>
      </c>
      <c r="C49" s="41" t="inlineStr">
        <is>
          <t>Monthly active customers</t>
        </is>
      </c>
      <c r="D49" s="7" t="n">
        <v>18000</v>
      </c>
      <c r="E49" s="41" t="inlineStr">
        <is>
          <t>FY plan</t>
        </is>
      </c>
    </row>
    <row r="50">
      <c r="A50" s="64" t="n">
        <v>45536</v>
      </c>
      <c r="B50" s="41" t="inlineStr">
        <is>
          <t>K13</t>
        </is>
      </c>
      <c r="C50" s="41" t="inlineStr">
        <is>
          <t>Total deposits</t>
        </is>
      </c>
      <c r="D50" s="68" t="n">
        <v>2500000</v>
      </c>
      <c r="E50" s="41" t="inlineStr">
        <is>
          <t>FY plan</t>
        </is>
      </c>
    </row>
    <row r="51">
      <c r="A51" s="64" t="n">
        <v>45566</v>
      </c>
      <c r="B51" s="41" t="inlineStr">
        <is>
          <t>K13</t>
        </is>
      </c>
      <c r="C51" s="41" t="inlineStr">
        <is>
          <t>Total deposits</t>
        </is>
      </c>
      <c r="D51" s="68" t="n">
        <v>5000000</v>
      </c>
      <c r="E51" s="41" t="inlineStr">
        <is>
          <t>FY plan</t>
        </is>
      </c>
    </row>
    <row r="52">
      <c r="A52" s="64" t="n">
        <v>45597</v>
      </c>
      <c r="B52" s="41" t="inlineStr">
        <is>
          <t>K13</t>
        </is>
      </c>
      <c r="C52" s="41" t="inlineStr">
        <is>
          <t>Total deposits</t>
        </is>
      </c>
      <c r="D52" s="68" t="n">
        <v>8000000</v>
      </c>
      <c r="E52" s="41" t="inlineStr">
        <is>
          <t>FY plan</t>
        </is>
      </c>
    </row>
    <row r="53">
      <c r="A53" s="64" t="n">
        <v>45627</v>
      </c>
      <c r="B53" s="41" t="inlineStr">
        <is>
          <t>K13</t>
        </is>
      </c>
      <c r="C53" s="41" t="inlineStr">
        <is>
          <t>Total deposits</t>
        </is>
      </c>
      <c r="D53" s="68" t="n">
        <v>11000000</v>
      </c>
      <c r="E53" s="41" t="inlineStr">
        <is>
          <t>FY plan</t>
        </is>
      </c>
    </row>
    <row r="54">
      <c r="A54" s="64" t="n">
        <v>45658</v>
      </c>
      <c r="B54" s="41" t="inlineStr">
        <is>
          <t>K13</t>
        </is>
      </c>
      <c r="C54" s="41" t="inlineStr">
        <is>
          <t>Total deposits</t>
        </is>
      </c>
      <c r="D54" s="68" t="n">
        <v>14000000</v>
      </c>
      <c r="E54" s="41" t="inlineStr">
        <is>
          <t>FY plan</t>
        </is>
      </c>
    </row>
    <row r="55">
      <c r="A55" s="64" t="n">
        <v>45689</v>
      </c>
      <c r="B55" s="41" t="inlineStr">
        <is>
          <t>K13</t>
        </is>
      </c>
      <c r="C55" s="41" t="inlineStr">
        <is>
          <t>Total deposits</t>
        </is>
      </c>
      <c r="D55" s="68" t="n">
        <v>17500000</v>
      </c>
      <c r="E55" s="41" t="inlineStr">
        <is>
          <t>FY plan</t>
        </is>
      </c>
    </row>
    <row r="56">
      <c r="A56" s="64" t="n">
        <v>45717</v>
      </c>
      <c r="B56" s="41" t="inlineStr">
        <is>
          <t>K13</t>
        </is>
      </c>
      <c r="C56" s="41" t="inlineStr">
        <is>
          <t>Total deposits</t>
        </is>
      </c>
      <c r="D56" s="68" t="n">
        <v>21000000</v>
      </c>
      <c r="E56" s="41" t="inlineStr">
        <is>
          <t>FY plan</t>
        </is>
      </c>
    </row>
    <row r="57">
      <c r="A57" s="64" t="n">
        <v>45748</v>
      </c>
      <c r="B57" s="41" t="inlineStr">
        <is>
          <t>K13</t>
        </is>
      </c>
      <c r="C57" s="41" t="inlineStr">
        <is>
          <t>Total deposits</t>
        </is>
      </c>
      <c r="D57" s="68" t="n">
        <v>25000000</v>
      </c>
      <c r="E57" s="41" t="inlineStr">
        <is>
          <t>FY plan</t>
        </is>
      </c>
    </row>
    <row r="58">
      <c r="A58" s="64" t="n">
        <v>45778</v>
      </c>
      <c r="B58" s="41" t="inlineStr">
        <is>
          <t>K13</t>
        </is>
      </c>
      <c r="C58" s="41" t="inlineStr">
        <is>
          <t>Total deposits</t>
        </is>
      </c>
      <c r="D58" s="68" t="n">
        <v>29000000</v>
      </c>
      <c r="E58" s="41" t="inlineStr">
        <is>
          <t>FY plan</t>
        </is>
      </c>
    </row>
    <row r="59">
      <c r="A59" s="64" t="n">
        <v>45809</v>
      </c>
      <c r="B59" s="41" t="inlineStr">
        <is>
          <t>K13</t>
        </is>
      </c>
      <c r="C59" s="41" t="inlineStr">
        <is>
          <t>Total deposits</t>
        </is>
      </c>
      <c r="D59" s="68" t="n">
        <v>33000000</v>
      </c>
      <c r="E59" s="41" t="inlineStr">
        <is>
          <t>FY plan</t>
        </is>
      </c>
    </row>
    <row r="60">
      <c r="A60" s="64" t="n">
        <v>45839</v>
      </c>
      <c r="B60" s="41" t="inlineStr">
        <is>
          <t>K13</t>
        </is>
      </c>
      <c r="C60" s="41" t="inlineStr">
        <is>
          <t>Total deposits</t>
        </is>
      </c>
      <c r="D60" s="68" t="n">
        <v>37500000</v>
      </c>
      <c r="E60" s="41" t="inlineStr">
        <is>
          <t>FY plan</t>
        </is>
      </c>
    </row>
    <row r="61">
      <c r="A61" s="64" t="n">
        <v>45870</v>
      </c>
      <c r="B61" s="41" t="inlineStr">
        <is>
          <t>K13</t>
        </is>
      </c>
      <c r="C61" s="41" t="inlineStr">
        <is>
          <t>Total deposits</t>
        </is>
      </c>
      <c r="D61" s="68" t="n">
        <v>42000000</v>
      </c>
      <c r="E61" s="41" t="inlineStr">
        <is>
          <t>FY plan</t>
        </is>
      </c>
    </row>
    <row r="62">
      <c r="A62" s="64" t="n">
        <v>45901</v>
      </c>
      <c r="B62" s="41" t="inlineStr">
        <is>
          <t>K13</t>
        </is>
      </c>
      <c r="C62" s="41" t="inlineStr">
        <is>
          <t>Total deposits</t>
        </is>
      </c>
      <c r="D62" s="68" t="n">
        <v>47000000</v>
      </c>
      <c r="E62" s="41" t="inlineStr">
        <is>
          <t>FY plan</t>
        </is>
      </c>
    </row>
    <row r="63">
      <c r="A63" s="64" t="n">
        <v>45931</v>
      </c>
      <c r="B63" s="41" t="inlineStr">
        <is>
          <t>K13</t>
        </is>
      </c>
      <c r="C63" s="41" t="inlineStr">
        <is>
          <t>Total deposits</t>
        </is>
      </c>
      <c r="D63" s="68" t="n">
        <v>52000000</v>
      </c>
      <c r="E63" s="41" t="inlineStr">
        <is>
          <t>FY plan</t>
        </is>
      </c>
    </row>
    <row r="64">
      <c r="A64" s="64" t="n">
        <v>45962</v>
      </c>
      <c r="B64" s="41" t="inlineStr">
        <is>
          <t>K13</t>
        </is>
      </c>
      <c r="C64" s="41" t="inlineStr">
        <is>
          <t>Total deposits</t>
        </is>
      </c>
      <c r="D64" s="68" t="n">
        <v>57500000</v>
      </c>
      <c r="E64" s="41" t="inlineStr">
        <is>
          <t>FY plan</t>
        </is>
      </c>
    </row>
    <row r="65">
      <c r="A65" s="64" t="n">
        <v>45992</v>
      </c>
      <c r="B65" s="41" t="inlineStr">
        <is>
          <t>K13</t>
        </is>
      </c>
      <c r="C65" s="41" t="inlineStr">
        <is>
          <t>Total deposits</t>
        </is>
      </c>
      <c r="D65" s="68" t="n">
        <v>63000000</v>
      </c>
      <c r="E65" s="41" t="inlineStr">
        <is>
          <t>FY plan</t>
        </is>
      </c>
    </row>
    <row r="66">
      <c r="A66" s="64" t="n">
        <v>46023</v>
      </c>
      <c r="B66" s="41" t="inlineStr">
        <is>
          <t>K13</t>
        </is>
      </c>
      <c r="C66" s="41" t="inlineStr">
        <is>
          <t>Total deposits</t>
        </is>
      </c>
      <c r="D66" s="68" t="n">
        <v>69000000</v>
      </c>
      <c r="E66" s="41" t="inlineStr">
        <is>
          <t>FY plan</t>
        </is>
      </c>
    </row>
    <row r="67">
      <c r="A67" s="64" t="n">
        <v>46054</v>
      </c>
      <c r="B67" s="41" t="inlineStr">
        <is>
          <t>K13</t>
        </is>
      </c>
      <c r="C67" s="41" t="inlineStr">
        <is>
          <t>Total deposits</t>
        </is>
      </c>
      <c r="D67" s="68" t="n">
        <v>75000000</v>
      </c>
      <c r="E67" s="41" t="inlineStr">
        <is>
          <t>FY plan</t>
        </is>
      </c>
    </row>
    <row r="68">
      <c r="A68" s="64" t="n">
        <v>46082</v>
      </c>
      <c r="B68" s="41" t="inlineStr">
        <is>
          <t>K13</t>
        </is>
      </c>
      <c r="C68" s="41" t="inlineStr">
        <is>
          <t>Total deposits</t>
        </is>
      </c>
      <c r="D68" s="68" t="n">
        <v>81000000</v>
      </c>
      <c r="E68" s="41" t="inlineStr">
        <is>
          <t>FY plan</t>
        </is>
      </c>
    </row>
    <row r="69">
      <c r="A69" s="64" t="n">
        <v>46113</v>
      </c>
      <c r="B69" s="41" t="inlineStr">
        <is>
          <t>K13</t>
        </is>
      </c>
      <c r="C69" s="41" t="inlineStr">
        <is>
          <t>Total deposits</t>
        </is>
      </c>
      <c r="D69" s="68" t="n">
        <v>87500000</v>
      </c>
      <c r="E69" s="41" t="inlineStr">
        <is>
          <t>FY plan</t>
        </is>
      </c>
    </row>
    <row r="70">
      <c r="A70" s="64" t="n">
        <v>46143</v>
      </c>
      <c r="B70" s="41" t="inlineStr">
        <is>
          <t>K13</t>
        </is>
      </c>
      <c r="C70" s="41" t="inlineStr">
        <is>
          <t>Total deposits</t>
        </is>
      </c>
      <c r="D70" s="68" t="n">
        <v>94000000</v>
      </c>
      <c r="E70" s="41" t="inlineStr">
        <is>
          <t>FY plan</t>
        </is>
      </c>
    </row>
    <row r="71">
      <c r="A71" s="64" t="n">
        <v>46174</v>
      </c>
      <c r="B71" s="41" t="inlineStr">
        <is>
          <t>K13</t>
        </is>
      </c>
      <c r="C71" s="41" t="inlineStr">
        <is>
          <t>Total deposits</t>
        </is>
      </c>
      <c r="D71" s="68" t="n">
        <v>101000000</v>
      </c>
      <c r="E71" s="41" t="inlineStr">
        <is>
          <t>FY plan</t>
        </is>
      </c>
    </row>
    <row r="72">
      <c r="A72" s="64" t="n">
        <v>46204</v>
      </c>
      <c r="B72" s="41" t="inlineStr">
        <is>
          <t>K13</t>
        </is>
      </c>
      <c r="C72" s="41" t="inlineStr">
        <is>
          <t>Total deposits</t>
        </is>
      </c>
      <c r="D72" s="68" t="n">
        <v>108000000</v>
      </c>
      <c r="E72" s="41" t="inlineStr">
        <is>
          <t>FY plan</t>
        </is>
      </c>
    </row>
    <row r="73">
      <c r="A73" s="64" t="n">
        <v>46235</v>
      </c>
      <c r="B73" s="41" t="inlineStr">
        <is>
          <t>K13</t>
        </is>
      </c>
      <c r="C73" s="41" t="inlineStr">
        <is>
          <t>Total deposits</t>
        </is>
      </c>
      <c r="D73" s="68" t="n">
        <v>115000000</v>
      </c>
      <c r="E73" s="41" t="inlineStr">
        <is>
          <t>FY plan</t>
        </is>
      </c>
    </row>
    <row r="74">
      <c r="A74" s="64" t="n">
        <v>45536</v>
      </c>
      <c r="B74" s="41" t="inlineStr">
        <is>
          <t>K14</t>
        </is>
      </c>
      <c r="C74" s="41" t="inlineStr">
        <is>
          <t>CASA ratio</t>
        </is>
      </c>
      <c r="D74" s="65" t="n">
        <v>0.9</v>
      </c>
      <c r="E74" s="41" t="inlineStr">
        <is>
          <t>FY2024 launch plan 90%, then 80%</t>
        </is>
      </c>
    </row>
    <row r="75">
      <c r="A75" s="64" t="n">
        <v>45566</v>
      </c>
      <c r="B75" s="41" t="inlineStr">
        <is>
          <t>K14</t>
        </is>
      </c>
      <c r="C75" s="41" t="inlineStr">
        <is>
          <t>CASA ratio</t>
        </is>
      </c>
      <c r="D75" s="65" t="n">
        <v>0.9</v>
      </c>
      <c r="E75" s="41" t="inlineStr">
        <is>
          <t>FY2024 launch plan 90%, then 80%</t>
        </is>
      </c>
    </row>
    <row r="76">
      <c r="A76" s="64" t="n">
        <v>45597</v>
      </c>
      <c r="B76" s="41" t="inlineStr">
        <is>
          <t>K14</t>
        </is>
      </c>
      <c r="C76" s="41" t="inlineStr">
        <is>
          <t>CASA ratio</t>
        </is>
      </c>
      <c r="D76" s="65" t="n">
        <v>0.9</v>
      </c>
      <c r="E76" s="41" t="inlineStr">
        <is>
          <t>FY2024 launch plan 90%, then 80%</t>
        </is>
      </c>
    </row>
    <row r="77">
      <c r="A77" s="64" t="n">
        <v>45627</v>
      </c>
      <c r="B77" s="41" t="inlineStr">
        <is>
          <t>K14</t>
        </is>
      </c>
      <c r="C77" s="41" t="inlineStr">
        <is>
          <t>CASA ratio</t>
        </is>
      </c>
      <c r="D77" s="65" t="n">
        <v>0.9</v>
      </c>
      <c r="E77" s="41" t="inlineStr">
        <is>
          <t>FY2024 launch plan 90%, then 80%</t>
        </is>
      </c>
    </row>
    <row r="78">
      <c r="A78" s="64" t="n">
        <v>45658</v>
      </c>
      <c r="B78" s="41" t="inlineStr">
        <is>
          <t>K14</t>
        </is>
      </c>
      <c r="C78" s="41" t="inlineStr">
        <is>
          <t>CASA ratio</t>
        </is>
      </c>
      <c r="D78" s="65" t="n">
        <v>0.8</v>
      </c>
      <c r="E78" s="41" t="inlineStr">
        <is>
          <t>FY2024 launch plan 90%, then 80%</t>
        </is>
      </c>
    </row>
    <row r="79">
      <c r="A79" s="64" t="n">
        <v>45689</v>
      </c>
      <c r="B79" s="41" t="inlineStr">
        <is>
          <t>K14</t>
        </is>
      </c>
      <c r="C79" s="41" t="inlineStr">
        <is>
          <t>CASA ratio</t>
        </is>
      </c>
      <c r="D79" s="65" t="n">
        <v>0.8</v>
      </c>
      <c r="E79" s="41" t="inlineStr">
        <is>
          <t>FY2024 launch plan 90%, then 80%</t>
        </is>
      </c>
    </row>
    <row r="80">
      <c r="A80" s="64" t="n">
        <v>45717</v>
      </c>
      <c r="B80" s="41" t="inlineStr">
        <is>
          <t>K14</t>
        </is>
      </c>
      <c r="C80" s="41" t="inlineStr">
        <is>
          <t>CASA ratio</t>
        </is>
      </c>
      <c r="D80" s="65" t="n">
        <v>0.8</v>
      </c>
      <c r="E80" s="41" t="inlineStr">
        <is>
          <t>FY2024 launch plan 90%, then 80%</t>
        </is>
      </c>
    </row>
    <row r="81">
      <c r="A81" s="64" t="n">
        <v>45748</v>
      </c>
      <c r="B81" s="41" t="inlineStr">
        <is>
          <t>K14</t>
        </is>
      </c>
      <c r="C81" s="41" t="inlineStr">
        <is>
          <t>CASA ratio</t>
        </is>
      </c>
      <c r="D81" s="65" t="n">
        <v>0.8</v>
      </c>
      <c r="E81" s="41" t="inlineStr">
        <is>
          <t>FY2024 launch plan 90%, then 80%</t>
        </is>
      </c>
    </row>
    <row r="82">
      <c r="A82" s="64" t="n">
        <v>45778</v>
      </c>
      <c r="B82" s="41" t="inlineStr">
        <is>
          <t>K14</t>
        </is>
      </c>
      <c r="C82" s="41" t="inlineStr">
        <is>
          <t>CASA ratio</t>
        </is>
      </c>
      <c r="D82" s="65" t="n">
        <v>0.8</v>
      </c>
      <c r="E82" s="41" t="inlineStr">
        <is>
          <t>FY2024 launch plan 90%, then 80%</t>
        </is>
      </c>
    </row>
    <row r="83">
      <c r="A83" s="64" t="n">
        <v>45809</v>
      </c>
      <c r="B83" s="41" t="inlineStr">
        <is>
          <t>K14</t>
        </is>
      </c>
      <c r="C83" s="41" t="inlineStr">
        <is>
          <t>CASA ratio</t>
        </is>
      </c>
      <c r="D83" s="65" t="n">
        <v>0.8</v>
      </c>
      <c r="E83" s="41" t="inlineStr">
        <is>
          <t>FY2024 launch plan 90%, then 80%</t>
        </is>
      </c>
    </row>
    <row r="84">
      <c r="A84" s="64" t="n">
        <v>45839</v>
      </c>
      <c r="B84" s="41" t="inlineStr">
        <is>
          <t>K14</t>
        </is>
      </c>
      <c r="C84" s="41" t="inlineStr">
        <is>
          <t>CASA ratio</t>
        </is>
      </c>
      <c r="D84" s="65" t="n">
        <v>0.8</v>
      </c>
      <c r="E84" s="41" t="inlineStr">
        <is>
          <t>FY2024 launch plan 90%, then 80%</t>
        </is>
      </c>
    </row>
    <row r="85">
      <c r="A85" s="64" t="n">
        <v>45870</v>
      </c>
      <c r="B85" s="41" t="inlineStr">
        <is>
          <t>K14</t>
        </is>
      </c>
      <c r="C85" s="41" t="inlineStr">
        <is>
          <t>CASA ratio</t>
        </is>
      </c>
      <c r="D85" s="65" t="n">
        <v>0.8</v>
      </c>
      <c r="E85" s="41" t="inlineStr">
        <is>
          <t>FY2024 launch plan 90%, then 80%</t>
        </is>
      </c>
    </row>
    <row r="86">
      <c r="A86" s="64" t="n">
        <v>45901</v>
      </c>
      <c r="B86" s="41" t="inlineStr">
        <is>
          <t>K14</t>
        </is>
      </c>
      <c r="C86" s="41" t="inlineStr">
        <is>
          <t>CASA ratio</t>
        </is>
      </c>
      <c r="D86" s="65" t="n">
        <v>0.8</v>
      </c>
      <c r="E86" s="41" t="inlineStr">
        <is>
          <t>FY2024 launch plan 90%, then 80%</t>
        </is>
      </c>
    </row>
    <row r="87">
      <c r="A87" s="64" t="n">
        <v>45931</v>
      </c>
      <c r="B87" s="41" t="inlineStr">
        <is>
          <t>K14</t>
        </is>
      </c>
      <c r="C87" s="41" t="inlineStr">
        <is>
          <t>CASA ratio</t>
        </is>
      </c>
      <c r="D87" s="65" t="n">
        <v>0.8</v>
      </c>
      <c r="E87" s="41" t="inlineStr">
        <is>
          <t>FY2024 launch plan 90%, then 80%</t>
        </is>
      </c>
    </row>
    <row r="88">
      <c r="A88" s="64" t="n">
        <v>45962</v>
      </c>
      <c r="B88" s="41" t="inlineStr">
        <is>
          <t>K14</t>
        </is>
      </c>
      <c r="C88" s="41" t="inlineStr">
        <is>
          <t>CASA ratio</t>
        </is>
      </c>
      <c r="D88" s="65" t="n">
        <v>0.8</v>
      </c>
      <c r="E88" s="41" t="inlineStr">
        <is>
          <t>FY2024 launch plan 90%, then 80%</t>
        </is>
      </c>
    </row>
    <row r="89">
      <c r="A89" s="64" t="n">
        <v>45992</v>
      </c>
      <c r="B89" s="41" t="inlineStr">
        <is>
          <t>K14</t>
        </is>
      </c>
      <c r="C89" s="41" t="inlineStr">
        <is>
          <t>CASA ratio</t>
        </is>
      </c>
      <c r="D89" s="65" t="n">
        <v>0.8</v>
      </c>
      <c r="E89" s="41" t="inlineStr">
        <is>
          <t>FY2024 launch plan 90%, then 80%</t>
        </is>
      </c>
    </row>
    <row r="90">
      <c r="A90" s="64" t="n">
        <v>46023</v>
      </c>
      <c r="B90" s="41" t="inlineStr">
        <is>
          <t>K14</t>
        </is>
      </c>
      <c r="C90" s="41" t="inlineStr">
        <is>
          <t>CASA ratio</t>
        </is>
      </c>
      <c r="D90" s="65" t="n">
        <v>0.8</v>
      </c>
      <c r="E90" s="41" t="inlineStr">
        <is>
          <t>FY2024 launch plan 90%, then 80%</t>
        </is>
      </c>
    </row>
    <row r="91">
      <c r="A91" s="64" t="n">
        <v>46054</v>
      </c>
      <c r="B91" s="41" t="inlineStr">
        <is>
          <t>K14</t>
        </is>
      </c>
      <c r="C91" s="41" t="inlineStr">
        <is>
          <t>CASA ratio</t>
        </is>
      </c>
      <c r="D91" s="65" t="n">
        <v>0.8</v>
      </c>
      <c r="E91" s="41" t="inlineStr">
        <is>
          <t>FY2024 launch plan 90%, then 80%</t>
        </is>
      </c>
    </row>
    <row r="92">
      <c r="A92" s="64" t="n">
        <v>46082</v>
      </c>
      <c r="B92" s="41" t="inlineStr">
        <is>
          <t>K14</t>
        </is>
      </c>
      <c r="C92" s="41" t="inlineStr">
        <is>
          <t>CASA ratio</t>
        </is>
      </c>
      <c r="D92" s="65" t="n">
        <v>0.8</v>
      </c>
      <c r="E92" s="41" t="inlineStr">
        <is>
          <t>FY2024 launch plan 90%, then 80%</t>
        </is>
      </c>
    </row>
    <row r="93">
      <c r="A93" s="64" t="n">
        <v>46113</v>
      </c>
      <c r="B93" s="41" t="inlineStr">
        <is>
          <t>K14</t>
        </is>
      </c>
      <c r="C93" s="41" t="inlineStr">
        <is>
          <t>CASA ratio</t>
        </is>
      </c>
      <c r="D93" s="65" t="n">
        <v>0.8</v>
      </c>
      <c r="E93" s="41" t="inlineStr">
        <is>
          <t>FY2024 launch plan 90%, then 80%</t>
        </is>
      </c>
    </row>
    <row r="94">
      <c r="A94" s="64" t="n">
        <v>46143</v>
      </c>
      <c r="B94" s="41" t="inlineStr">
        <is>
          <t>K14</t>
        </is>
      </c>
      <c r="C94" s="41" t="inlineStr">
        <is>
          <t>CASA ratio</t>
        </is>
      </c>
      <c r="D94" s="65" t="n">
        <v>0.8</v>
      </c>
      <c r="E94" s="41" t="inlineStr">
        <is>
          <t>FY2024 launch plan 90%, then 80%</t>
        </is>
      </c>
    </row>
    <row r="95">
      <c r="A95" s="64" t="n">
        <v>46174</v>
      </c>
      <c r="B95" s="41" t="inlineStr">
        <is>
          <t>K14</t>
        </is>
      </c>
      <c r="C95" s="41" t="inlineStr">
        <is>
          <t>CASA ratio</t>
        </is>
      </c>
      <c r="D95" s="65" t="n">
        <v>0.8</v>
      </c>
      <c r="E95" s="41" t="inlineStr">
        <is>
          <t>FY2024 launch plan 90%, then 80%</t>
        </is>
      </c>
    </row>
    <row r="96">
      <c r="A96" s="64" t="n">
        <v>46204</v>
      </c>
      <c r="B96" s="41" t="inlineStr">
        <is>
          <t>K14</t>
        </is>
      </c>
      <c r="C96" s="41" t="inlineStr">
        <is>
          <t>CASA ratio</t>
        </is>
      </c>
      <c r="D96" s="65" t="n">
        <v>0.8</v>
      </c>
      <c r="E96" s="41" t="inlineStr">
        <is>
          <t>FY2024 launch plan 90%, then 80%</t>
        </is>
      </c>
    </row>
    <row r="97">
      <c r="A97" s="64" t="n">
        <v>46235</v>
      </c>
      <c r="B97" s="41" t="inlineStr">
        <is>
          <t>K14</t>
        </is>
      </c>
      <c r="C97" s="41" t="inlineStr">
        <is>
          <t>CASA ratio</t>
        </is>
      </c>
      <c r="D97" s="65" t="n">
        <v>0.8</v>
      </c>
      <c r="E97" s="41" t="inlineStr">
        <is>
          <t>FY2024 launch plan 90%, then 80%</t>
        </is>
      </c>
    </row>
    <row r="98">
      <c r="A98" s="64" t="n">
        <v>45536</v>
      </c>
      <c r="B98" s="41" t="inlineStr">
        <is>
          <t>K15</t>
        </is>
      </c>
      <c r="C98" s="41" t="inlineStr">
        <is>
          <t>Cost of funds</t>
        </is>
      </c>
      <c r="D98" s="69" t="n">
        <v>0.022</v>
      </c>
      <c r="E98" s="41" t="inlineStr">
        <is>
          <t>Re-planned to 2.00% after the 9 Jul 2025 OPR cut</t>
        </is>
      </c>
    </row>
    <row r="99">
      <c r="A99" s="64" t="n">
        <v>45566</v>
      </c>
      <c r="B99" s="41" t="inlineStr">
        <is>
          <t>K15</t>
        </is>
      </c>
      <c r="C99" s="41" t="inlineStr">
        <is>
          <t>Cost of funds</t>
        </is>
      </c>
      <c r="D99" s="69" t="n">
        <v>0.022</v>
      </c>
      <c r="E99" s="41" t="inlineStr">
        <is>
          <t>Re-planned to 2.00% after the 9 Jul 2025 OPR cut</t>
        </is>
      </c>
    </row>
    <row r="100">
      <c r="A100" s="64" t="n">
        <v>45597</v>
      </c>
      <c r="B100" s="41" t="inlineStr">
        <is>
          <t>K15</t>
        </is>
      </c>
      <c r="C100" s="41" t="inlineStr">
        <is>
          <t>Cost of funds</t>
        </is>
      </c>
      <c r="D100" s="69" t="n">
        <v>0.022</v>
      </c>
      <c r="E100" s="41" t="inlineStr">
        <is>
          <t>Re-planned to 2.00% after the 9 Jul 2025 OPR cut</t>
        </is>
      </c>
    </row>
    <row r="101">
      <c r="A101" s="64" t="n">
        <v>45627</v>
      </c>
      <c r="B101" s="41" t="inlineStr">
        <is>
          <t>K15</t>
        </is>
      </c>
      <c r="C101" s="41" t="inlineStr">
        <is>
          <t>Cost of funds</t>
        </is>
      </c>
      <c r="D101" s="69" t="n">
        <v>0.022</v>
      </c>
      <c r="E101" s="41" t="inlineStr">
        <is>
          <t>Re-planned to 2.00% after the 9 Jul 2025 OPR cut</t>
        </is>
      </c>
    </row>
    <row r="102">
      <c r="A102" s="64" t="n">
        <v>45658</v>
      </c>
      <c r="B102" s="41" t="inlineStr">
        <is>
          <t>K15</t>
        </is>
      </c>
      <c r="C102" s="41" t="inlineStr">
        <is>
          <t>Cost of funds</t>
        </is>
      </c>
      <c r="D102" s="69" t="n">
        <v>0.022</v>
      </c>
      <c r="E102" s="41" t="inlineStr">
        <is>
          <t>Re-planned to 2.00% after the 9 Jul 2025 OPR cut</t>
        </is>
      </c>
    </row>
    <row r="103">
      <c r="A103" s="64" t="n">
        <v>45689</v>
      </c>
      <c r="B103" s="41" t="inlineStr">
        <is>
          <t>K15</t>
        </is>
      </c>
      <c r="C103" s="41" t="inlineStr">
        <is>
          <t>Cost of funds</t>
        </is>
      </c>
      <c r="D103" s="69" t="n">
        <v>0.022</v>
      </c>
      <c r="E103" s="41" t="inlineStr">
        <is>
          <t>Re-planned to 2.00% after the 9 Jul 2025 OPR cut</t>
        </is>
      </c>
    </row>
    <row r="104">
      <c r="A104" s="64" t="n">
        <v>45717</v>
      </c>
      <c r="B104" s="41" t="inlineStr">
        <is>
          <t>K15</t>
        </is>
      </c>
      <c r="C104" s="41" t="inlineStr">
        <is>
          <t>Cost of funds</t>
        </is>
      </c>
      <c r="D104" s="69" t="n">
        <v>0.022</v>
      </c>
      <c r="E104" s="41" t="inlineStr">
        <is>
          <t>Re-planned to 2.00% after the 9 Jul 2025 OPR cut</t>
        </is>
      </c>
    </row>
    <row r="105">
      <c r="A105" s="64" t="n">
        <v>45748</v>
      </c>
      <c r="B105" s="41" t="inlineStr">
        <is>
          <t>K15</t>
        </is>
      </c>
      <c r="C105" s="41" t="inlineStr">
        <is>
          <t>Cost of funds</t>
        </is>
      </c>
      <c r="D105" s="69" t="n">
        <v>0.022</v>
      </c>
      <c r="E105" s="41" t="inlineStr">
        <is>
          <t>Re-planned to 2.00% after the 9 Jul 2025 OPR cut</t>
        </is>
      </c>
    </row>
    <row r="106">
      <c r="A106" s="64" t="n">
        <v>45778</v>
      </c>
      <c r="B106" s="41" t="inlineStr">
        <is>
          <t>K15</t>
        </is>
      </c>
      <c r="C106" s="41" t="inlineStr">
        <is>
          <t>Cost of funds</t>
        </is>
      </c>
      <c r="D106" s="69" t="n">
        <v>0.022</v>
      </c>
      <c r="E106" s="41" t="inlineStr">
        <is>
          <t>Re-planned to 2.00% after the 9 Jul 2025 OPR cut</t>
        </is>
      </c>
    </row>
    <row r="107">
      <c r="A107" s="64" t="n">
        <v>45809</v>
      </c>
      <c r="B107" s="41" t="inlineStr">
        <is>
          <t>K15</t>
        </is>
      </c>
      <c r="C107" s="41" t="inlineStr">
        <is>
          <t>Cost of funds</t>
        </is>
      </c>
      <c r="D107" s="69" t="n">
        <v>0.022</v>
      </c>
      <c r="E107" s="41" t="inlineStr">
        <is>
          <t>Re-planned to 2.00% after the 9 Jul 2025 OPR cut</t>
        </is>
      </c>
    </row>
    <row r="108">
      <c r="A108" s="64" t="n">
        <v>45839</v>
      </c>
      <c r="B108" s="41" t="inlineStr">
        <is>
          <t>K15</t>
        </is>
      </c>
      <c r="C108" s="41" t="inlineStr">
        <is>
          <t>Cost of funds</t>
        </is>
      </c>
      <c r="D108" s="69" t="n">
        <v>0.022</v>
      </c>
      <c r="E108" s="41" t="inlineStr">
        <is>
          <t>Re-planned to 2.00% after the 9 Jul 2025 OPR cut</t>
        </is>
      </c>
    </row>
    <row r="109">
      <c r="A109" s="64" t="n">
        <v>45870</v>
      </c>
      <c r="B109" s="41" t="inlineStr">
        <is>
          <t>K15</t>
        </is>
      </c>
      <c r="C109" s="41" t="inlineStr">
        <is>
          <t>Cost of funds</t>
        </is>
      </c>
      <c r="D109" s="69" t="n">
        <v>0.02</v>
      </c>
      <c r="E109" s="41" t="inlineStr">
        <is>
          <t>Re-planned to 2.00% after the 9 Jul 2025 OPR cut</t>
        </is>
      </c>
    </row>
    <row r="110">
      <c r="A110" s="64" t="n">
        <v>45901</v>
      </c>
      <c r="B110" s="41" t="inlineStr">
        <is>
          <t>K15</t>
        </is>
      </c>
      <c r="C110" s="41" t="inlineStr">
        <is>
          <t>Cost of funds</t>
        </is>
      </c>
      <c r="D110" s="69" t="n">
        <v>0.02</v>
      </c>
      <c r="E110" s="41" t="inlineStr">
        <is>
          <t>Re-planned to 2.00% after the 9 Jul 2025 OPR cut</t>
        </is>
      </c>
    </row>
    <row r="111">
      <c r="A111" s="64" t="n">
        <v>45931</v>
      </c>
      <c r="B111" s="41" t="inlineStr">
        <is>
          <t>K15</t>
        </is>
      </c>
      <c r="C111" s="41" t="inlineStr">
        <is>
          <t>Cost of funds</t>
        </is>
      </c>
      <c r="D111" s="69" t="n">
        <v>0.02</v>
      </c>
      <c r="E111" s="41" t="inlineStr">
        <is>
          <t>Re-planned to 2.00% after the 9 Jul 2025 OPR cut</t>
        </is>
      </c>
    </row>
    <row r="112">
      <c r="A112" s="64" t="n">
        <v>45962</v>
      </c>
      <c r="B112" s="41" t="inlineStr">
        <is>
          <t>K15</t>
        </is>
      </c>
      <c r="C112" s="41" t="inlineStr">
        <is>
          <t>Cost of funds</t>
        </is>
      </c>
      <c r="D112" s="69" t="n">
        <v>0.02</v>
      </c>
      <c r="E112" s="41" t="inlineStr">
        <is>
          <t>Re-planned to 2.00% after the 9 Jul 2025 OPR cut</t>
        </is>
      </c>
    </row>
    <row r="113">
      <c r="A113" s="64" t="n">
        <v>45992</v>
      </c>
      <c r="B113" s="41" t="inlineStr">
        <is>
          <t>K15</t>
        </is>
      </c>
      <c r="C113" s="41" t="inlineStr">
        <is>
          <t>Cost of funds</t>
        </is>
      </c>
      <c r="D113" s="69" t="n">
        <v>0.02</v>
      </c>
      <c r="E113" s="41" t="inlineStr">
        <is>
          <t>Re-planned to 2.00% after the 9 Jul 2025 OPR cut</t>
        </is>
      </c>
    </row>
    <row r="114">
      <c r="A114" s="64" t="n">
        <v>46023</v>
      </c>
      <c r="B114" s="41" t="inlineStr">
        <is>
          <t>K15</t>
        </is>
      </c>
      <c r="C114" s="41" t="inlineStr">
        <is>
          <t>Cost of funds</t>
        </is>
      </c>
      <c r="D114" s="69" t="n">
        <v>0.02</v>
      </c>
      <c r="E114" s="41" t="inlineStr">
        <is>
          <t>Re-planned to 2.00% after the 9 Jul 2025 OPR cut</t>
        </is>
      </c>
    </row>
    <row r="115">
      <c r="A115" s="64" t="n">
        <v>46054</v>
      </c>
      <c r="B115" s="41" t="inlineStr">
        <is>
          <t>K15</t>
        </is>
      </c>
      <c r="C115" s="41" t="inlineStr">
        <is>
          <t>Cost of funds</t>
        </is>
      </c>
      <c r="D115" s="69" t="n">
        <v>0.02</v>
      </c>
      <c r="E115" s="41" t="inlineStr">
        <is>
          <t>Re-planned to 2.00% after the 9 Jul 2025 OPR cut</t>
        </is>
      </c>
    </row>
    <row r="116">
      <c r="A116" s="64" t="n">
        <v>46082</v>
      </c>
      <c r="B116" s="41" t="inlineStr">
        <is>
          <t>K15</t>
        </is>
      </c>
      <c r="C116" s="41" t="inlineStr">
        <is>
          <t>Cost of funds</t>
        </is>
      </c>
      <c r="D116" s="69" t="n">
        <v>0.02</v>
      </c>
      <c r="E116" s="41" t="inlineStr">
        <is>
          <t>Re-planned to 2.00% after the 9 Jul 2025 OPR cut</t>
        </is>
      </c>
    </row>
    <row r="117">
      <c r="A117" s="64" t="n">
        <v>46113</v>
      </c>
      <c r="B117" s="41" t="inlineStr">
        <is>
          <t>K15</t>
        </is>
      </c>
      <c r="C117" s="41" t="inlineStr">
        <is>
          <t>Cost of funds</t>
        </is>
      </c>
      <c r="D117" s="69" t="n">
        <v>0.02</v>
      </c>
      <c r="E117" s="41" t="inlineStr">
        <is>
          <t>Re-planned to 2.00% after the 9 Jul 2025 OPR cut</t>
        </is>
      </c>
    </row>
    <row r="118">
      <c r="A118" s="64" t="n">
        <v>46143</v>
      </c>
      <c r="B118" s="41" t="inlineStr">
        <is>
          <t>K15</t>
        </is>
      </c>
      <c r="C118" s="41" t="inlineStr">
        <is>
          <t>Cost of funds</t>
        </is>
      </c>
      <c r="D118" s="69" t="n">
        <v>0.02</v>
      </c>
      <c r="E118" s="41" t="inlineStr">
        <is>
          <t>Re-planned to 2.00% after the 9 Jul 2025 OPR cut</t>
        </is>
      </c>
    </row>
    <row r="119">
      <c r="A119" s="64" t="n">
        <v>46174</v>
      </c>
      <c r="B119" s="41" t="inlineStr">
        <is>
          <t>K15</t>
        </is>
      </c>
      <c r="C119" s="41" t="inlineStr">
        <is>
          <t>Cost of funds</t>
        </is>
      </c>
      <c r="D119" s="69" t="n">
        <v>0.02</v>
      </c>
      <c r="E119" s="41" t="inlineStr">
        <is>
          <t>Re-planned to 2.00% after the 9 Jul 2025 OPR cut</t>
        </is>
      </c>
    </row>
    <row r="120">
      <c r="A120" s="64" t="n">
        <v>46204</v>
      </c>
      <c r="B120" s="41" t="inlineStr">
        <is>
          <t>K15</t>
        </is>
      </c>
      <c r="C120" s="41" t="inlineStr">
        <is>
          <t>Cost of funds</t>
        </is>
      </c>
      <c r="D120" s="69" t="n">
        <v>0.02</v>
      </c>
      <c r="E120" s="41" t="inlineStr">
        <is>
          <t>Re-planned to 2.00% after the 9 Jul 2025 OPR cut</t>
        </is>
      </c>
    </row>
    <row r="121">
      <c r="A121" s="64" t="n">
        <v>46235</v>
      </c>
      <c r="B121" s="41" t="inlineStr">
        <is>
          <t>K15</t>
        </is>
      </c>
      <c r="C121" s="41" t="inlineStr">
        <is>
          <t>Cost of funds</t>
        </is>
      </c>
      <c r="D121" s="69" t="n">
        <v>0.02</v>
      </c>
      <c r="E121" s="41" t="inlineStr">
        <is>
          <t>Re-planned to 2.00% after the 9 Jul 2025 OPR cut</t>
        </is>
      </c>
    </row>
    <row r="122">
      <c r="A122" s="64" t="n">
        <v>45658</v>
      </c>
      <c r="B122" s="41" t="inlineStr">
        <is>
          <t>K19</t>
        </is>
      </c>
      <c r="C122" s="41" t="inlineStr">
        <is>
          <t>PAR30</t>
        </is>
      </c>
      <c r="D122" s="69" t="n">
        <v>0.025</v>
      </c>
      <c r="E122" s="41" t="inlineStr">
        <is>
          <t>No financing before Jan 2025; FY2025 2.5%, FY2026 3.0%</t>
        </is>
      </c>
    </row>
    <row r="123">
      <c r="A123" s="64" t="n">
        <v>45689</v>
      </c>
      <c r="B123" s="41" t="inlineStr">
        <is>
          <t>K19</t>
        </is>
      </c>
      <c r="C123" s="41" t="inlineStr">
        <is>
          <t>PAR30</t>
        </is>
      </c>
      <c r="D123" s="69" t="n">
        <v>0.025</v>
      </c>
      <c r="E123" s="41" t="inlineStr">
        <is>
          <t>No financing before Jan 2025; FY2025 2.5%, FY2026 3.0%</t>
        </is>
      </c>
    </row>
    <row r="124">
      <c r="A124" s="64" t="n">
        <v>45717</v>
      </c>
      <c r="B124" s="41" t="inlineStr">
        <is>
          <t>K19</t>
        </is>
      </c>
      <c r="C124" s="41" t="inlineStr">
        <is>
          <t>PAR30</t>
        </is>
      </c>
      <c r="D124" s="69" t="n">
        <v>0.025</v>
      </c>
      <c r="E124" s="41" t="inlineStr">
        <is>
          <t>No financing before Jan 2025; FY2025 2.5%, FY2026 3.0%</t>
        </is>
      </c>
    </row>
    <row r="125">
      <c r="A125" s="64" t="n">
        <v>45748</v>
      </c>
      <c r="B125" s="41" t="inlineStr">
        <is>
          <t>K19</t>
        </is>
      </c>
      <c r="C125" s="41" t="inlineStr">
        <is>
          <t>PAR30</t>
        </is>
      </c>
      <c r="D125" s="69" t="n">
        <v>0.025</v>
      </c>
      <c r="E125" s="41" t="inlineStr">
        <is>
          <t>No financing before Jan 2025; FY2025 2.5%, FY2026 3.0%</t>
        </is>
      </c>
    </row>
    <row r="126">
      <c r="A126" s="64" t="n">
        <v>45778</v>
      </c>
      <c r="B126" s="41" t="inlineStr">
        <is>
          <t>K19</t>
        </is>
      </c>
      <c r="C126" s="41" t="inlineStr">
        <is>
          <t>PAR30</t>
        </is>
      </c>
      <c r="D126" s="69" t="n">
        <v>0.025</v>
      </c>
      <c r="E126" s="41" t="inlineStr">
        <is>
          <t>No financing before Jan 2025; FY2025 2.5%, FY2026 3.0%</t>
        </is>
      </c>
    </row>
    <row r="127">
      <c r="A127" s="64" t="n">
        <v>45809</v>
      </c>
      <c r="B127" s="41" t="inlineStr">
        <is>
          <t>K19</t>
        </is>
      </c>
      <c r="C127" s="41" t="inlineStr">
        <is>
          <t>PAR30</t>
        </is>
      </c>
      <c r="D127" s="69" t="n">
        <v>0.025</v>
      </c>
      <c r="E127" s="41" t="inlineStr">
        <is>
          <t>No financing before Jan 2025; FY2025 2.5%, FY2026 3.0%</t>
        </is>
      </c>
    </row>
    <row r="128">
      <c r="A128" s="64" t="n">
        <v>45839</v>
      </c>
      <c r="B128" s="41" t="inlineStr">
        <is>
          <t>K19</t>
        </is>
      </c>
      <c r="C128" s="41" t="inlineStr">
        <is>
          <t>PAR30</t>
        </is>
      </c>
      <c r="D128" s="69" t="n">
        <v>0.025</v>
      </c>
      <c r="E128" s="41" t="inlineStr">
        <is>
          <t>No financing before Jan 2025; FY2025 2.5%, FY2026 3.0%</t>
        </is>
      </c>
    </row>
    <row r="129">
      <c r="A129" s="64" t="n">
        <v>45870</v>
      </c>
      <c r="B129" s="41" t="inlineStr">
        <is>
          <t>K19</t>
        </is>
      </c>
      <c r="C129" s="41" t="inlineStr">
        <is>
          <t>PAR30</t>
        </is>
      </c>
      <c r="D129" s="69" t="n">
        <v>0.025</v>
      </c>
      <c r="E129" s="41" t="inlineStr">
        <is>
          <t>No financing before Jan 2025; FY2025 2.5%, FY2026 3.0%</t>
        </is>
      </c>
    </row>
    <row r="130">
      <c r="A130" s="64" t="n">
        <v>45901</v>
      </c>
      <c r="B130" s="41" t="inlineStr">
        <is>
          <t>K19</t>
        </is>
      </c>
      <c r="C130" s="41" t="inlineStr">
        <is>
          <t>PAR30</t>
        </is>
      </c>
      <c r="D130" s="69" t="n">
        <v>0.025</v>
      </c>
      <c r="E130" s="41" t="inlineStr">
        <is>
          <t>No financing before Jan 2025; FY2025 2.5%, FY2026 3.0%</t>
        </is>
      </c>
    </row>
    <row r="131">
      <c r="A131" s="64" t="n">
        <v>45931</v>
      </c>
      <c r="B131" s="41" t="inlineStr">
        <is>
          <t>K19</t>
        </is>
      </c>
      <c r="C131" s="41" t="inlineStr">
        <is>
          <t>PAR30</t>
        </is>
      </c>
      <c r="D131" s="69" t="n">
        <v>0.025</v>
      </c>
      <c r="E131" s="41" t="inlineStr">
        <is>
          <t>No financing before Jan 2025; FY2025 2.5%, FY2026 3.0%</t>
        </is>
      </c>
    </row>
    <row r="132">
      <c r="A132" s="64" t="n">
        <v>45962</v>
      </c>
      <c r="B132" s="41" t="inlineStr">
        <is>
          <t>K19</t>
        </is>
      </c>
      <c r="C132" s="41" t="inlineStr">
        <is>
          <t>PAR30</t>
        </is>
      </c>
      <c r="D132" s="69" t="n">
        <v>0.025</v>
      </c>
      <c r="E132" s="41" t="inlineStr">
        <is>
          <t>No financing before Jan 2025; FY2025 2.5%, FY2026 3.0%</t>
        </is>
      </c>
    </row>
    <row r="133">
      <c r="A133" s="64" t="n">
        <v>45992</v>
      </c>
      <c r="B133" s="41" t="inlineStr">
        <is>
          <t>K19</t>
        </is>
      </c>
      <c r="C133" s="41" t="inlineStr">
        <is>
          <t>PAR30</t>
        </is>
      </c>
      <c r="D133" s="69" t="n">
        <v>0.025</v>
      </c>
      <c r="E133" s="41" t="inlineStr">
        <is>
          <t>No financing before Jan 2025; FY2025 2.5%, FY2026 3.0%</t>
        </is>
      </c>
    </row>
    <row r="134">
      <c r="A134" s="64" t="n">
        <v>46023</v>
      </c>
      <c r="B134" s="41" t="inlineStr">
        <is>
          <t>K19</t>
        </is>
      </c>
      <c r="C134" s="41" t="inlineStr">
        <is>
          <t>PAR30</t>
        </is>
      </c>
      <c r="D134" s="69" t="n">
        <v>0.03</v>
      </c>
      <c r="E134" s="41" t="inlineStr">
        <is>
          <t>No financing before Jan 2025; FY2025 2.5%, FY2026 3.0%</t>
        </is>
      </c>
    </row>
    <row r="135">
      <c r="A135" s="64" t="n">
        <v>46054</v>
      </c>
      <c r="B135" s="41" t="inlineStr">
        <is>
          <t>K19</t>
        </is>
      </c>
      <c r="C135" s="41" t="inlineStr">
        <is>
          <t>PAR30</t>
        </is>
      </c>
      <c r="D135" s="69" t="n">
        <v>0.03</v>
      </c>
      <c r="E135" s="41" t="inlineStr">
        <is>
          <t>No financing before Jan 2025; FY2025 2.5%, FY2026 3.0%</t>
        </is>
      </c>
    </row>
    <row r="136">
      <c r="A136" s="64" t="n">
        <v>46082</v>
      </c>
      <c r="B136" s="41" t="inlineStr">
        <is>
          <t>K19</t>
        </is>
      </c>
      <c r="C136" s="41" t="inlineStr">
        <is>
          <t>PAR30</t>
        </is>
      </c>
      <c r="D136" s="69" t="n">
        <v>0.03</v>
      </c>
      <c r="E136" s="41" t="inlineStr">
        <is>
          <t>No financing before Jan 2025; FY2025 2.5%, FY2026 3.0%</t>
        </is>
      </c>
    </row>
    <row r="137">
      <c r="A137" s="64" t="n">
        <v>46113</v>
      </c>
      <c r="B137" s="41" t="inlineStr">
        <is>
          <t>K19</t>
        </is>
      </c>
      <c r="C137" s="41" t="inlineStr">
        <is>
          <t>PAR30</t>
        </is>
      </c>
      <c r="D137" s="69" t="n">
        <v>0.03</v>
      </c>
      <c r="E137" s="41" t="inlineStr">
        <is>
          <t>No financing before Jan 2025; FY2025 2.5%, FY2026 3.0%</t>
        </is>
      </c>
    </row>
    <row r="138">
      <c r="A138" s="64" t="n">
        <v>46143</v>
      </c>
      <c r="B138" s="41" t="inlineStr">
        <is>
          <t>K19</t>
        </is>
      </c>
      <c r="C138" s="41" t="inlineStr">
        <is>
          <t>PAR30</t>
        </is>
      </c>
      <c r="D138" s="69" t="n">
        <v>0.03</v>
      </c>
      <c r="E138" s="41" t="inlineStr">
        <is>
          <t>No financing before Jan 2025; FY2025 2.5%, FY2026 3.0%</t>
        </is>
      </c>
    </row>
    <row r="139">
      <c r="A139" s="64" t="n">
        <v>46174</v>
      </c>
      <c r="B139" s="41" t="inlineStr">
        <is>
          <t>K19</t>
        </is>
      </c>
      <c r="C139" s="41" t="inlineStr">
        <is>
          <t>PAR30</t>
        </is>
      </c>
      <c r="D139" s="69" t="n">
        <v>0.03</v>
      </c>
      <c r="E139" s="41" t="inlineStr">
        <is>
          <t>No financing before Jan 2025; FY2025 2.5%, FY2026 3.0%</t>
        </is>
      </c>
    </row>
    <row r="140">
      <c r="A140" s="64" t="n">
        <v>46204</v>
      </c>
      <c r="B140" s="41" t="inlineStr">
        <is>
          <t>K19</t>
        </is>
      </c>
      <c r="C140" s="41" t="inlineStr">
        <is>
          <t>PAR30</t>
        </is>
      </c>
      <c r="D140" s="69" t="n">
        <v>0.03</v>
      </c>
      <c r="E140" s="41" t="inlineStr">
        <is>
          <t>No financing before Jan 2025; FY2025 2.5%, FY2026 3.0%</t>
        </is>
      </c>
    </row>
    <row r="141">
      <c r="A141" s="64" t="n">
        <v>46235</v>
      </c>
      <c r="B141" s="41" t="inlineStr">
        <is>
          <t>K19</t>
        </is>
      </c>
      <c r="C141" s="41" t="inlineStr">
        <is>
          <t>PAR30</t>
        </is>
      </c>
      <c r="D141" s="69" t="n">
        <v>0.03</v>
      </c>
      <c r="E141" s="41" t="inlineStr">
        <is>
          <t>No financing before Jan 2025; FY2025 2.5%, FY2026 3.0%</t>
        </is>
      </c>
    </row>
  </sheetData>
  <autoFilter ref="A1:E14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B9B8B0"/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60" customWidth="1" min="4" max="4"/>
    <col width="50" customWidth="1" min="5" max="5"/>
    <col width="20" customWidth="1" min="6" max="6"/>
    <col width="8" customWidth="1" min="7" max="7"/>
    <col width="10" customWidth="1" min="8" max="8"/>
    <col width="10" customWidth="1" min="9" max="9"/>
    <col width="12" customWidth="1" min="10" max="10"/>
    <col width="40" customWidth="1" min="11" max="11"/>
    <col width="11" customWidth="1" min="12" max="12"/>
    <col width="26" customWidth="1" min="13" max="13"/>
    <col width="26" customWidth="1" min="14" max="14"/>
    <col width="20" customWidth="1" min="15" max="15"/>
  </cols>
  <sheetData>
    <row r="1">
      <c r="A1" s="17" t="inlineStr">
        <is>
          <t>kpi_id</t>
        </is>
      </c>
      <c r="B1" s="17" t="inlineStr">
        <is>
          <t>kpi_name</t>
        </is>
      </c>
      <c r="C1" s="17" t="inlineStr">
        <is>
          <t>family</t>
        </is>
      </c>
      <c r="D1" s="17" t="inlineStr">
        <is>
          <t>definition</t>
        </is>
      </c>
      <c r="E1" s="17" t="inlineStr">
        <is>
          <t>formula</t>
        </is>
      </c>
      <c r="F1" s="17" t="inlineStr">
        <is>
          <t>owner</t>
        </is>
      </c>
      <c r="G1" s="17" t="inlineStr">
        <is>
          <t>unit</t>
        </is>
      </c>
      <c r="H1" s="17" t="inlineStr">
        <is>
          <t>direction</t>
        </is>
      </c>
      <c r="I1" s="17" t="inlineStr">
        <is>
          <t>amber_tolerance</t>
        </is>
      </c>
      <c r="J1" s="17" t="inlineStr">
        <is>
          <t>target</t>
        </is>
      </c>
      <c r="K1" s="17" t="inlineStr">
        <is>
          <t>target_note</t>
        </is>
      </c>
      <c r="L1" s="17" t="inlineStr">
        <is>
          <t>is_scorecard</t>
        </is>
      </c>
      <c r="M1" s="17" t="inlineStr">
        <is>
          <t>source_table</t>
        </is>
      </c>
      <c r="N1" s="17" t="inlineStr">
        <is>
          <t>source_column</t>
        </is>
      </c>
      <c r="O1" s="17" t="inlineStr">
        <is>
          <t>dashboard_page</t>
        </is>
      </c>
    </row>
    <row r="2">
      <c r="A2" s="71" t="inlineStr">
        <is>
          <t>K01</t>
        </is>
      </c>
      <c r="B2" s="71" t="inlineStr">
        <is>
          <t>Applications started</t>
        </is>
      </c>
      <c r="C2" s="71" t="inlineStr">
        <is>
          <t>growth</t>
        </is>
      </c>
      <c r="D2" s="72" t="inlineStr">
        <is>
          <t>Applicants who started sign-up in the app in the month</t>
        </is>
      </c>
      <c r="E2" s="72" t="inlineStr">
        <is>
          <t>count of applicants whose signup_started event falls in the month (Malaysia time)</t>
        </is>
      </c>
      <c r="F2" s="71" t="inlineStr">
        <is>
          <t>Head of Onboarding</t>
        </is>
      </c>
      <c r="G2" s="71" t="inlineStr">
        <is>
          <t>count</t>
        </is>
      </c>
      <c r="H2" s="71" t="inlineStr">
        <is>
          <t>higher</t>
        </is>
      </c>
      <c r="I2" s="73" t="n">
        <v>0.1</v>
      </c>
      <c r="J2" s="74" t="n">
        <v>3000</v>
      </c>
      <c r="K2" s="72" t="inlineStr">
        <is>
          <t>FY2026 monthly average</t>
        </is>
      </c>
      <c r="L2" s="71" t="b">
        <v>0</v>
      </c>
      <c r="M2" s="71" t="inlineStr">
        <is>
          <t>kpi.growth_monthly</t>
        </is>
      </c>
      <c r="N2" s="71" t="inlineStr">
        <is>
          <t>applications_started</t>
        </is>
      </c>
      <c r="O2" s="71" t="inlineStr">
        <is>
          <t>Growth</t>
        </is>
      </c>
    </row>
    <row r="3">
      <c r="A3" s="71" t="inlineStr">
        <is>
          <t>K02</t>
        </is>
      </c>
      <c r="B3" s="71" t="inlineStr">
        <is>
          <t>New customers</t>
        </is>
      </c>
      <c r="C3" s="71" t="inlineStr">
        <is>
          <t>growth</t>
        </is>
      </c>
      <c r="D3" s="72" t="inlineStr">
        <is>
          <t>Accounts opened in the month</t>
        </is>
      </c>
      <c r="E3" s="72" t="inlineStr">
        <is>
          <t>count of customers by the month their account opened</t>
        </is>
      </c>
      <c r="F3" s="71" t="inlineStr">
        <is>
          <t>Head of Growth</t>
        </is>
      </c>
      <c r="G3" s="71" t="inlineStr">
        <is>
          <t>count</t>
        </is>
      </c>
      <c r="H3" s="71" t="inlineStr">
        <is>
          <t>higher</t>
        </is>
      </c>
      <c r="I3" s="73" t="n">
        <v>0.1</v>
      </c>
      <c r="J3" s="74" t="n"/>
      <c r="K3" s="72" t="inlineStr">
        <is>
          <t>Monthly plan in plan_targets.csv</t>
        </is>
      </c>
      <c r="L3" s="71" t="b">
        <v>1</v>
      </c>
      <c r="M3" s="71" t="inlineStr">
        <is>
          <t>kpi.growth_monthly</t>
        </is>
      </c>
      <c r="N3" s="71" t="inlineStr">
        <is>
          <t>new_customers</t>
        </is>
      </c>
      <c r="O3" s="71" t="inlineStr">
        <is>
          <t>Executive;Growth</t>
        </is>
      </c>
    </row>
    <row r="4">
      <c r="A4" s="71" t="inlineStr">
        <is>
          <t>K03</t>
        </is>
      </c>
      <c r="B4" s="71" t="inlineStr">
        <is>
          <t>Onboarding conversion</t>
        </is>
      </c>
      <c r="C4" s="71" t="inlineStr">
        <is>
          <t>onboarding</t>
        </is>
      </c>
      <c r="D4" s="72" t="inlineStr">
        <is>
          <t>Share of the month's applicants who went on to open an account</t>
        </is>
      </c>
      <c r="E4" s="72" t="inlineStr">
        <is>
          <t>applicants who reached account_opened / applicants who started, by start month</t>
        </is>
      </c>
      <c r="F4" s="71" t="inlineStr">
        <is>
          <t>Head of Onboarding</t>
        </is>
      </c>
      <c r="G4" s="71" t="inlineStr">
        <is>
          <t>pct</t>
        </is>
      </c>
      <c r="H4" s="71" t="inlineStr">
        <is>
          <t>higher</t>
        </is>
      </c>
      <c r="I4" s="73" t="n">
        <v>0.05</v>
      </c>
      <c r="J4" s="75" t="n">
        <v>0.55</v>
      </c>
      <c r="K4" s="72" t="n"/>
      <c r="L4" s="71" t="b">
        <v>0</v>
      </c>
      <c r="M4" s="71" t="inlineStr">
        <is>
          <t>kpi.growth_monthly</t>
        </is>
      </c>
      <c r="N4" s="71" t="inlineStr">
        <is>
          <t>onboarding_conversion</t>
        </is>
      </c>
      <c r="O4" s="71" t="inlineStr">
        <is>
          <t>Growth</t>
        </is>
      </c>
    </row>
    <row r="5">
      <c r="A5" s="71" t="inlineStr">
        <is>
          <t>K04</t>
        </is>
      </c>
      <c r="B5" s="71" t="inlineStr">
        <is>
          <t>eKYC completion rate</t>
        </is>
      </c>
      <c r="C5" s="71" t="inlineStr">
        <is>
          <t>onboarding</t>
        </is>
      </c>
      <c r="D5" s="72" t="inlineStr">
        <is>
          <t>Share of applicants who scanned their MyKad and then passed the selfie liveness check</t>
        </is>
      </c>
      <c r="E5" s="72" t="inlineStr">
        <is>
          <t>liveness passed / MyKad scanned, by start month</t>
        </is>
      </c>
      <c r="F5" s="71" t="inlineStr">
        <is>
          <t>Head of Onboarding</t>
        </is>
      </c>
      <c r="G5" s="71" t="inlineStr">
        <is>
          <t>pct</t>
        </is>
      </c>
      <c r="H5" s="71" t="inlineStr">
        <is>
          <t>higher</t>
        </is>
      </c>
      <c r="I5" s="73" t="n">
        <v>0.05</v>
      </c>
      <c r="J5" s="75" t="n">
        <v>0.75</v>
      </c>
      <c r="K5" s="72" t="n"/>
      <c r="L5" s="71" t="b">
        <v>0</v>
      </c>
      <c r="M5" s="71" t="inlineStr">
        <is>
          <t>kpi.growth_monthly</t>
        </is>
      </c>
      <c r="N5" s="71" t="inlineStr">
        <is>
          <t>ekyc_completion_rate</t>
        </is>
      </c>
      <c r="O5" s="71" t="inlineStr">
        <is>
          <t>Growth</t>
        </is>
      </c>
    </row>
    <row r="6">
      <c r="A6" s="71" t="inlineStr">
        <is>
          <t>K05</t>
        </is>
      </c>
      <c r="B6" s="71" t="inlineStr">
        <is>
          <t>Cost per new customer (CAC)</t>
        </is>
      </c>
      <c r="C6" s="71" t="inlineStr">
        <is>
          <t>growth</t>
        </is>
      </c>
      <c r="D6" s="72" t="inlineStr">
        <is>
          <t>Acquisition marketing spend per account opened</t>
        </is>
      </c>
      <c r="E6" s="72" t="inlineStr">
        <is>
          <t>acquisition spend / new customers; blank while an invoice is missing</t>
        </is>
      </c>
      <c r="F6" s="71" t="inlineStr">
        <is>
          <t>Head of Growth</t>
        </is>
      </c>
      <c r="G6" s="71" t="inlineStr">
        <is>
          <t>rm</t>
        </is>
      </c>
      <c r="H6" s="71" t="inlineStr">
        <is>
          <t>lower</t>
        </is>
      </c>
      <c r="I6" s="73" t="n">
        <v>0.1</v>
      </c>
      <c r="J6" s="76" t="n">
        <v>25</v>
      </c>
      <c r="K6" s="72" t="n"/>
      <c r="L6" s="71" t="b">
        <v>0</v>
      </c>
      <c r="M6" s="71" t="inlineStr">
        <is>
          <t>kpi.growth_monthly</t>
        </is>
      </c>
      <c r="N6" s="71" t="inlineStr">
        <is>
          <t>cac</t>
        </is>
      </c>
      <c r="O6" s="71" t="inlineStr">
        <is>
          <t>Growth</t>
        </is>
      </c>
    </row>
    <row r="7">
      <c r="A7" s="71" t="inlineStr">
        <is>
          <t>K06</t>
        </is>
      </c>
      <c r="B7" s="71" t="inlineStr">
        <is>
          <t>Month-3 active rate</t>
        </is>
      </c>
      <c r="C7" s="71" t="inlineStr">
        <is>
          <t>growth</t>
        </is>
      </c>
      <c r="D7" s="72" t="inlineStr">
        <is>
          <t>Share of customers who opened three months earlier and made a transaction themselves this month</t>
        </is>
      </c>
      <c r="E7" s="72" t="inlineStr">
        <is>
          <t>customers active in their third month after opening / customers in that cohort</t>
        </is>
      </c>
      <c r="F7" s="71" t="inlineStr">
        <is>
          <t>Head of Growth</t>
        </is>
      </c>
      <c r="G7" s="71" t="inlineStr">
        <is>
          <t>pct</t>
        </is>
      </c>
      <c r="H7" s="71" t="inlineStr">
        <is>
          <t>higher</t>
        </is>
      </c>
      <c r="I7" s="73" t="n">
        <v>0.05</v>
      </c>
      <c r="J7" s="75" t="n">
        <v>0.65</v>
      </c>
      <c r="K7" s="72" t="n"/>
      <c r="L7" s="71" t="b">
        <v>0</v>
      </c>
      <c r="M7" s="71" t="inlineStr">
        <is>
          <t>kpi.growth_monthly</t>
        </is>
      </c>
      <c r="N7" s="71" t="inlineStr">
        <is>
          <t>m3_active_rate</t>
        </is>
      </c>
      <c r="O7" s="71" t="inlineStr">
        <is>
          <t>Growth</t>
        </is>
      </c>
    </row>
    <row r="8">
      <c r="A8" s="71" t="inlineStr">
        <is>
          <t>K07</t>
        </is>
      </c>
      <c r="B8" s="71" t="inlineStr">
        <is>
          <t>Monthly active customers</t>
        </is>
      </c>
      <c r="C8" s="71" t="inlineStr">
        <is>
          <t>engagement</t>
        </is>
      </c>
      <c r="D8" s="72" t="inlineStr">
        <is>
          <t>Customers who made at least one transaction themselves in the month</t>
        </is>
      </c>
      <c r="E8" s="72" t="inlineStr">
        <is>
          <t>count of customers with a transfer out, bill payment, card purchase or FD placement</t>
        </is>
      </c>
      <c r="F8" s="71" t="inlineStr">
        <is>
          <t>Head of Product</t>
        </is>
      </c>
      <c r="G8" s="71" t="inlineStr">
        <is>
          <t>count</t>
        </is>
      </c>
      <c r="H8" s="71" t="inlineStr">
        <is>
          <t>higher</t>
        </is>
      </c>
      <c r="I8" s="73" t="n">
        <v>0.05</v>
      </c>
      <c r="J8" s="74" t="n"/>
      <c r="K8" s="72" t="inlineStr">
        <is>
          <t>Monthly plan in plan_targets.csv</t>
        </is>
      </c>
      <c r="L8" s="71" t="b">
        <v>1</v>
      </c>
      <c r="M8" s="71" t="inlineStr">
        <is>
          <t>kpi.engagement_monthly</t>
        </is>
      </c>
      <c r="N8" s="71" t="inlineStr">
        <is>
          <t>monthly_active_customers</t>
        </is>
      </c>
      <c r="O8" s="71" t="inlineStr">
        <is>
          <t>Executive;Engagement</t>
        </is>
      </c>
    </row>
    <row r="9">
      <c r="A9" s="71" t="inlineStr">
        <is>
          <t>K08</t>
        </is>
      </c>
      <c r="B9" s="71" t="inlineStr">
        <is>
          <t>Active customer rate</t>
        </is>
      </c>
      <c r="C9" s="71" t="inlineStr">
        <is>
          <t>engagement</t>
        </is>
      </c>
      <c r="D9" s="72" t="inlineStr">
        <is>
          <t>Share of customers with an open account who were active in the month</t>
        </is>
      </c>
      <c r="E9" s="72" t="inlineStr">
        <is>
          <t>monthly active customers / customers with an open account at month end</t>
        </is>
      </c>
      <c r="F9" s="71" t="inlineStr">
        <is>
          <t>Head of Product</t>
        </is>
      </c>
      <c r="G9" s="71" t="inlineStr">
        <is>
          <t>pct</t>
        </is>
      </c>
      <c r="H9" s="71" t="inlineStr">
        <is>
          <t>higher</t>
        </is>
      </c>
      <c r="I9" s="73" t="n">
        <v>0.05</v>
      </c>
      <c r="J9" s="75" t="n">
        <v>0.65</v>
      </c>
      <c r="K9" s="72" t="n"/>
      <c r="L9" s="71" t="b">
        <v>0</v>
      </c>
      <c r="M9" s="71" t="inlineStr">
        <is>
          <t>kpi.engagement_monthly</t>
        </is>
      </c>
      <c r="N9" s="71" t="inlineStr">
        <is>
          <t>active_customer_rate</t>
        </is>
      </c>
      <c r="O9" s="71" t="inlineStr">
        <is>
          <t>Engagement</t>
        </is>
      </c>
    </row>
    <row r="10">
      <c r="A10" s="71" t="inlineStr">
        <is>
          <t>K09</t>
        </is>
      </c>
      <c r="B10" s="71" t="inlineStr">
        <is>
          <t>Transactions per active customer</t>
        </is>
      </c>
      <c r="C10" s="71" t="inlineStr">
        <is>
          <t>engagement</t>
        </is>
      </c>
      <c r="D10" s="72" t="inlineStr">
        <is>
          <t>Transactions active customers made themselves, per customer</t>
        </is>
      </c>
      <c r="E10" s="72" t="inlineStr">
        <is>
          <t>customer-initiated transactions / monthly active customers</t>
        </is>
      </c>
      <c r="F10" s="71" t="inlineStr">
        <is>
          <t>Head of Product</t>
        </is>
      </c>
      <c r="G10" s="71" t="inlineStr">
        <is>
          <t>number</t>
        </is>
      </c>
      <c r="H10" s="71" t="inlineStr">
        <is>
          <t>higher</t>
        </is>
      </c>
      <c r="I10" s="73" t="n">
        <v>0.1</v>
      </c>
      <c r="J10" s="77" t="n">
        <v>9</v>
      </c>
      <c r="K10" s="72" t="n"/>
      <c r="L10" s="71" t="b">
        <v>0</v>
      </c>
      <c r="M10" s="71" t="inlineStr">
        <is>
          <t>kpi.engagement_monthly</t>
        </is>
      </c>
      <c r="N10" s="71" t="inlineStr">
        <is>
          <t>txns_per_active_customer</t>
        </is>
      </c>
      <c r="O10" s="71" t="inlineStr">
        <is>
          <t>Engagement</t>
        </is>
      </c>
    </row>
    <row r="11">
      <c r="A11" s="71" t="inlineStr">
        <is>
          <t>K10</t>
        </is>
      </c>
      <c r="B11" s="71" t="inlineStr">
        <is>
          <t>Card activation within 30 days</t>
        </is>
      </c>
      <c r="C11" s="71" t="inlineStr">
        <is>
          <t>cards</t>
        </is>
      </c>
      <c r="D11" s="72" t="inlineStr">
        <is>
          <t>Share of the month's new customers with a debit card who activated it within 30 days of opening</t>
        </is>
      </c>
      <c r="E11" s="72" t="inlineStr">
        <is>
          <t>cards activated within 30 days / new customers issued a card</t>
        </is>
      </c>
      <c r="F11" s="71" t="inlineStr">
        <is>
          <t>Head of Cards</t>
        </is>
      </c>
      <c r="G11" s="71" t="inlineStr">
        <is>
          <t>pct</t>
        </is>
      </c>
      <c r="H11" s="71" t="inlineStr">
        <is>
          <t>higher</t>
        </is>
      </c>
      <c r="I11" s="73" t="n">
        <v>0.05</v>
      </c>
      <c r="J11" s="75" t="n">
        <v>0.65</v>
      </c>
      <c r="K11" s="72" t="n"/>
      <c r="L11" s="71" t="b">
        <v>0</v>
      </c>
      <c r="M11" s="71" t="inlineStr">
        <is>
          <t>kpi.cards_monthly</t>
        </is>
      </c>
      <c r="N11" s="71" t="inlineStr">
        <is>
          <t>card_activation_30d</t>
        </is>
      </c>
      <c r="O11" s="71" t="inlineStr">
        <is>
          <t>Engagement</t>
        </is>
      </c>
    </row>
    <row r="12">
      <c r="A12" s="71" t="inlineStr">
        <is>
          <t>K11</t>
        </is>
      </c>
      <c r="B12" s="71" t="inlineStr">
        <is>
          <t>Debit card spend</t>
        </is>
      </c>
      <c r="C12" s="71" t="inlineStr">
        <is>
          <t>cards</t>
        </is>
      </c>
      <c r="D12" s="72" t="inlineStr">
        <is>
          <t>Card purchases settled and posted to the ledger in the month</t>
        </is>
      </c>
      <c r="E12" s="72" t="inlineStr">
        <is>
          <t>sum of card purchase postings (RM)</t>
        </is>
      </c>
      <c r="F12" s="71" t="inlineStr">
        <is>
          <t>Head of Cards</t>
        </is>
      </c>
      <c r="G12" s="71" t="inlineStr">
        <is>
          <t>rm</t>
        </is>
      </c>
      <c r="H12" s="71" t="inlineStr">
        <is>
          <t>higher</t>
        </is>
      </c>
      <c r="I12" s="73" t="n">
        <v>0.1</v>
      </c>
      <c r="J12" s="78" t="n">
        <v>15000000</v>
      </c>
      <c r="K12" s="72" t="inlineStr">
        <is>
          <t>FY2026 monthly average</t>
        </is>
      </c>
      <c r="L12" s="71" t="b">
        <v>0</v>
      </c>
      <c r="M12" s="71" t="inlineStr">
        <is>
          <t>kpi.cards_monthly</t>
        </is>
      </c>
      <c r="N12" s="71" t="inlineStr">
        <is>
          <t>card_spend</t>
        </is>
      </c>
      <c r="O12" s="71" t="inlineStr">
        <is>
          <t>Engagement</t>
        </is>
      </c>
    </row>
    <row r="13">
      <c r="A13" s="71" t="inlineStr">
        <is>
          <t>K12</t>
        </is>
      </c>
      <c r="B13" s="71" t="inlineStr">
        <is>
          <t>Card approval rate</t>
        </is>
      </c>
      <c r="C13" s="71" t="inlineStr">
        <is>
          <t>cards</t>
        </is>
      </c>
      <c r="D13" s="72" t="inlineStr">
        <is>
          <t>Share of card authorisation attempts approved</t>
        </is>
      </c>
      <c r="E13" s="72" t="inlineStr">
        <is>
          <t>approved authorisations (response 00) / all authorisations</t>
        </is>
      </c>
      <c r="F13" s="71" t="inlineStr">
        <is>
          <t>Head of Cards</t>
        </is>
      </c>
      <c r="G13" s="71" t="inlineStr">
        <is>
          <t>pct</t>
        </is>
      </c>
      <c r="H13" s="71" t="inlineStr">
        <is>
          <t>higher</t>
        </is>
      </c>
      <c r="I13" s="73" t="n">
        <v>0.01</v>
      </c>
      <c r="J13" s="75" t="n">
        <v>0.95</v>
      </c>
      <c r="K13" s="72" t="n"/>
      <c r="L13" s="71" t="b">
        <v>0</v>
      </c>
      <c r="M13" s="71" t="inlineStr">
        <is>
          <t>kpi.cards_monthly</t>
        </is>
      </c>
      <c r="N13" s="71" t="inlineStr">
        <is>
          <t>card_approval_rate</t>
        </is>
      </c>
      <c r="O13" s="71" t="inlineStr">
        <is>
          <t>Engagement</t>
        </is>
      </c>
    </row>
    <row r="14">
      <c r="A14" s="71" t="inlineStr">
        <is>
          <t>K13</t>
        </is>
      </c>
      <c r="B14" s="71" t="inlineStr">
        <is>
          <t>Total deposits</t>
        </is>
      </c>
      <c r="C14" s="71" t="inlineStr">
        <is>
          <t>deposits</t>
        </is>
      </c>
      <c r="D14" s="72" t="inlineStr">
        <is>
          <t>Savings (CASA) and fixed deposit balances at month end</t>
        </is>
      </c>
      <c r="E14" s="72" t="inlineStr">
        <is>
          <t>sum of month-end deposit balances (RM)</t>
        </is>
      </c>
      <c r="F14" s="71" t="inlineStr">
        <is>
          <t>Treasurer</t>
        </is>
      </c>
      <c r="G14" s="71" t="inlineStr">
        <is>
          <t>rm</t>
        </is>
      </c>
      <c r="H14" s="71" t="inlineStr">
        <is>
          <t>higher</t>
        </is>
      </c>
      <c r="I14" s="73" t="n">
        <v>0.05</v>
      </c>
      <c r="J14" s="78" t="n"/>
      <c r="K14" s="72" t="inlineStr">
        <is>
          <t>Monthly plan in plan_targets.csv</t>
        </is>
      </c>
      <c r="L14" s="71" t="b">
        <v>1</v>
      </c>
      <c r="M14" s="71" t="inlineStr">
        <is>
          <t>kpi.deposits_monthly</t>
        </is>
      </c>
      <c r="N14" s="71" t="inlineStr">
        <is>
          <t>total_deposits</t>
        </is>
      </c>
      <c r="O14" s="71" t="inlineStr">
        <is>
          <t>Executive;Deposits</t>
        </is>
      </c>
    </row>
    <row r="15">
      <c r="A15" s="71" t="inlineStr">
        <is>
          <t>K14</t>
        </is>
      </c>
      <c r="B15" s="71" t="inlineStr">
        <is>
          <t>CASA ratio</t>
        </is>
      </c>
      <c r="C15" s="71" t="inlineStr">
        <is>
          <t>deposits</t>
        </is>
      </c>
      <c r="D15" s="72" t="inlineStr">
        <is>
          <t>Share of deposits held in current and savings accounts rather than fixed deposits</t>
        </is>
      </c>
      <c r="E15" s="72" t="inlineStr">
        <is>
          <t>CASA balance / total deposits at month end</t>
        </is>
      </c>
      <c r="F15" s="71" t="inlineStr">
        <is>
          <t>Treasurer</t>
        </is>
      </c>
      <c r="G15" s="71" t="inlineStr">
        <is>
          <t>pct</t>
        </is>
      </c>
      <c r="H15" s="71" t="inlineStr">
        <is>
          <t>higher</t>
        </is>
      </c>
      <c r="I15" s="73" t="n">
        <v>0.05</v>
      </c>
      <c r="J15" s="75" t="n"/>
      <c r="K15" s="72" t="inlineStr">
        <is>
          <t>Monthly plan in plan_targets.csv</t>
        </is>
      </c>
      <c r="L15" s="71" t="b">
        <v>1</v>
      </c>
      <c r="M15" s="71" t="inlineStr">
        <is>
          <t>kpi.deposits_monthly</t>
        </is>
      </c>
      <c r="N15" s="71" t="inlineStr">
        <is>
          <t>casa_ratio</t>
        </is>
      </c>
      <c r="O15" s="71" t="inlineStr">
        <is>
          <t>Executive;Deposits</t>
        </is>
      </c>
    </row>
    <row r="16">
      <c r="A16" s="71" t="inlineStr">
        <is>
          <t>K15</t>
        </is>
      </c>
      <c r="B16" s="71" t="inlineStr">
        <is>
          <t>Cost of funds</t>
        </is>
      </c>
      <c r="C16" s="71" t="inlineStr">
        <is>
          <t>deposits</t>
        </is>
      </c>
      <c r="D16" s="72" t="inlineStr">
        <is>
          <t>Annualised interest cost of deposits</t>
        </is>
      </c>
      <c r="E16" s="72" t="inlineStr">
        <is>
          <t>interest accrued on average balances / average deposits x 365 / days in month</t>
        </is>
      </c>
      <c r="F16" s="71" t="inlineStr">
        <is>
          <t>Treasurer</t>
        </is>
      </c>
      <c r="G16" s="71" t="inlineStr">
        <is>
          <t>pct</t>
        </is>
      </c>
      <c r="H16" s="71" t="inlineStr">
        <is>
          <t>lower</t>
        </is>
      </c>
      <c r="I16" s="73" t="n">
        <v>0.05</v>
      </c>
      <c r="J16" s="79" t="n"/>
      <c r="K16" s="72" t="inlineStr">
        <is>
          <t>Monthly plan in plan_targets.csv</t>
        </is>
      </c>
      <c r="L16" s="71" t="b">
        <v>1</v>
      </c>
      <c r="M16" s="71" t="inlineStr">
        <is>
          <t>kpi.deposits_monthly</t>
        </is>
      </c>
      <c r="N16" s="71" t="inlineStr">
        <is>
          <t>cost_of_funds</t>
        </is>
      </c>
      <c r="O16" s="71" t="inlineStr">
        <is>
          <t>Executive;Deposits</t>
        </is>
      </c>
    </row>
    <row r="17">
      <c r="A17" s="71" t="inlineStr">
        <is>
          <t>K16</t>
        </is>
      </c>
      <c r="B17" s="71" t="inlineStr">
        <is>
          <t>FD retention at maturity</t>
        </is>
      </c>
      <c r="C17" s="71" t="inlineStr">
        <is>
          <t>deposits</t>
        </is>
      </c>
      <c r="D17" s="72" t="inlineStr">
        <is>
          <t>Share of matured fixed deposit money still with the bank 30 days after maturity</t>
        </is>
      </c>
      <c r="E17" s="72" t="inlineStr">
        <is>
          <t>(money rolled over + money paid to savings and not transferred out within 30 days) / money matured, by maturity month</t>
        </is>
      </c>
      <c r="F17" s="71" t="inlineStr">
        <is>
          <t>Treasurer</t>
        </is>
      </c>
      <c r="G17" s="71" t="inlineStr">
        <is>
          <t>pct</t>
        </is>
      </c>
      <c r="H17" s="71" t="inlineStr">
        <is>
          <t>higher</t>
        </is>
      </c>
      <c r="I17" s="73" t="n">
        <v>0.05</v>
      </c>
      <c r="J17" s="75" t="n">
        <v>0.75</v>
      </c>
      <c r="K17" s="72" t="n"/>
      <c r="L17" s="71" t="b">
        <v>0</v>
      </c>
      <c r="M17" s="71" t="inlineStr">
        <is>
          <t>kpi.fd_maturity_outcomes</t>
        </is>
      </c>
      <c r="N17" s="71" t="inlineStr">
        <is>
          <t>retained_30d / matured_amount</t>
        </is>
      </c>
      <c r="O17" s="71" t="inlineStr">
        <is>
          <t>Deposits</t>
        </is>
      </c>
    </row>
    <row r="18">
      <c r="A18" s="71" t="inlineStr">
        <is>
          <t>K17</t>
        </is>
      </c>
      <c r="B18" s="71" t="inlineStr">
        <is>
          <t>Gross loans</t>
        </is>
      </c>
      <c r="C18" s="71" t="inlineStr">
        <is>
          <t>credit</t>
        </is>
      </c>
      <c r="D18" s="72" t="inlineStr">
        <is>
          <t>Personal financing principal outstanding at month end</t>
        </is>
      </c>
      <c r="E18" s="72" t="inlineStr">
        <is>
          <t>sum of outstanding principal on active loans (RM)</t>
        </is>
      </c>
      <c r="F18" s="71" t="inlineStr">
        <is>
          <t>Head of Credit Risk</t>
        </is>
      </c>
      <c r="G18" s="71" t="inlineStr">
        <is>
          <t>rm</t>
        </is>
      </c>
      <c r="H18" s="71" t="inlineStr">
        <is>
          <t>higher</t>
        </is>
      </c>
      <c r="I18" s="73" t="n">
        <v>0.1</v>
      </c>
      <c r="J18" s="78" t="n">
        <v>45000000</v>
      </c>
      <c r="K18" s="72" t="inlineStr">
        <is>
          <t>By Aug 2026</t>
        </is>
      </c>
      <c r="L18" s="71" t="b">
        <v>0</v>
      </c>
      <c r="M18" s="71" t="inlineStr">
        <is>
          <t>kpi.credit_monthly</t>
        </is>
      </c>
      <c r="N18" s="71" t="inlineStr">
        <is>
          <t>gross_loans</t>
        </is>
      </c>
      <c r="O18" s="71" t="inlineStr">
        <is>
          <t>Credit</t>
        </is>
      </c>
    </row>
    <row r="19">
      <c r="A19" s="71" t="inlineStr">
        <is>
          <t>K18</t>
        </is>
      </c>
      <c r="B19" s="71" t="inlineStr">
        <is>
          <t>Financing disbursed</t>
        </is>
      </c>
      <c r="C19" s="71" t="inlineStr">
        <is>
          <t>credit</t>
        </is>
      </c>
      <c r="D19" s="72" t="inlineStr">
        <is>
          <t>Personal financing paid out in the month</t>
        </is>
      </c>
      <c r="E19" s="72" t="inlineStr">
        <is>
          <t>sum of principal disbursed (RM)</t>
        </is>
      </c>
      <c r="F19" s="71" t="inlineStr">
        <is>
          <t>Head of Credit Risk</t>
        </is>
      </c>
      <c r="G19" s="71" t="inlineStr">
        <is>
          <t>rm</t>
        </is>
      </c>
      <c r="H19" s="71" t="inlineStr">
        <is>
          <t>higher</t>
        </is>
      </c>
      <c r="I19" s="73" t="n">
        <v>0.1</v>
      </c>
      <c r="J19" s="78" t="n">
        <v>3000000</v>
      </c>
      <c r="K19" s="72" t="inlineStr">
        <is>
          <t>FY2026 monthly average</t>
        </is>
      </c>
      <c r="L19" s="71" t="b">
        <v>0</v>
      </c>
      <c r="M19" s="71" t="inlineStr">
        <is>
          <t>kpi.credit_monthly</t>
        </is>
      </c>
      <c r="N19" s="71" t="inlineStr">
        <is>
          <t>amount_disbursed</t>
        </is>
      </c>
      <c r="O19" s="71" t="inlineStr">
        <is>
          <t>Credit</t>
        </is>
      </c>
    </row>
    <row r="20">
      <c r="A20" s="71" t="inlineStr">
        <is>
          <t>K19</t>
        </is>
      </c>
      <c r="B20" s="71" t="inlineStr">
        <is>
          <t>PAR30</t>
        </is>
      </c>
      <c r="C20" s="71" t="inlineStr">
        <is>
          <t>credit</t>
        </is>
      </c>
      <c r="D20" s="72" t="inlineStr">
        <is>
          <t>Share of the loan book 30 or more days past due</t>
        </is>
      </c>
      <c r="E20" s="72" t="inlineStr">
        <is>
          <t>outstanding principal on loans 30+ days past due / gross loans</t>
        </is>
      </c>
      <c r="F20" s="71" t="inlineStr">
        <is>
          <t>Head of Credit Risk</t>
        </is>
      </c>
      <c r="G20" s="71" t="inlineStr">
        <is>
          <t>pct</t>
        </is>
      </c>
      <c r="H20" s="71" t="inlineStr">
        <is>
          <t>lower</t>
        </is>
      </c>
      <c r="I20" s="73" t="n">
        <v>0.1</v>
      </c>
      <c r="J20" s="79" t="n"/>
      <c r="K20" s="72" t="inlineStr">
        <is>
          <t>Monthly plan in plan_targets.csv</t>
        </is>
      </c>
      <c r="L20" s="71" t="b">
        <v>1</v>
      </c>
      <c r="M20" s="71" t="inlineStr">
        <is>
          <t>kpi.credit_monthly</t>
        </is>
      </c>
      <c r="N20" s="71" t="inlineStr">
        <is>
          <t>par30</t>
        </is>
      </c>
      <c r="O20" s="71" t="inlineStr">
        <is>
          <t>Executive;Credit</t>
        </is>
      </c>
    </row>
    <row r="21">
      <c r="A21" s="71" t="inlineStr">
        <is>
          <t>K20</t>
        </is>
      </c>
      <c r="B21" s="71" t="inlineStr">
        <is>
          <t>Gross impaired loans (GIL) ratio</t>
        </is>
      </c>
      <c r="C21" s="71" t="inlineStr">
        <is>
          <t>credit</t>
        </is>
      </c>
      <c r="D21" s="72" t="inlineStr">
        <is>
          <t>Share of the loan book impaired, meaning more than 90 days past due</t>
        </is>
      </c>
      <c r="E21" s="72" t="inlineStr">
        <is>
          <t>outstanding principal on loans more than 90 days past due / gross loans</t>
        </is>
      </c>
      <c r="F21" s="71" t="inlineStr">
        <is>
          <t>Head of Credit Risk</t>
        </is>
      </c>
      <c r="G21" s="71" t="inlineStr">
        <is>
          <t>pct</t>
        </is>
      </c>
      <c r="H21" s="71" t="inlineStr">
        <is>
          <t>lower</t>
        </is>
      </c>
      <c r="I21" s="73" t="n">
        <v>0.1</v>
      </c>
      <c r="J21" s="79" t="n">
        <v>0.02</v>
      </c>
      <c r="K21" s="72" t="n"/>
      <c r="L21" s="71" t="b">
        <v>0</v>
      </c>
      <c r="M21" s="71" t="inlineStr">
        <is>
          <t>kpi.credit_monthly</t>
        </is>
      </c>
      <c r="N21" s="71" t="inlineStr">
        <is>
          <t>gil_ratio</t>
        </is>
      </c>
      <c r="O21" s="71" t="inlineStr">
        <is>
          <t>Credit</t>
        </is>
      </c>
    </row>
    <row r="22">
      <c r="A22" s="71" t="inlineStr">
        <is>
          <t>K21</t>
        </is>
      </c>
      <c r="B22" s="71" t="inlineStr">
        <is>
          <t>Early delinquency at month 6</t>
        </is>
      </c>
      <c r="C22" s="71" t="inlineStr">
        <is>
          <t>credit</t>
        </is>
      </c>
      <c r="D22" s="72" t="inlineStr">
        <is>
          <t>Share of the loans disbursed six months earlier that have ever been 30+ days past due</t>
        </is>
      </c>
      <c r="E22" s="72" t="inlineStr">
        <is>
          <t>loans ever 30+ days past due by month on book 6 / loans in that vintage</t>
        </is>
      </c>
      <c r="F22" s="71" t="inlineStr">
        <is>
          <t>Head of Credit Risk</t>
        </is>
      </c>
      <c r="G22" s="71" t="inlineStr">
        <is>
          <t>pct</t>
        </is>
      </c>
      <c r="H22" s="71" t="inlineStr">
        <is>
          <t>lower</t>
        </is>
      </c>
      <c r="I22" s="73" t="n">
        <v>0.1</v>
      </c>
      <c r="J22" s="75" t="n">
        <v>0.05</v>
      </c>
      <c r="K22" s="72" t="n"/>
      <c r="L22" s="71" t="b">
        <v>0</v>
      </c>
      <c r="M22" s="71" t="inlineStr">
        <is>
          <t>kpi.credit_monthly</t>
        </is>
      </c>
      <c r="N22" s="71" t="inlineStr">
        <is>
          <t>early_delinquency_mob6</t>
        </is>
      </c>
      <c r="O22" s="71" t="inlineStr">
        <is>
          <t>Credit</t>
        </is>
      </c>
    </row>
    <row r="23">
      <c r="A23" s="71" t="inlineStr">
        <is>
          <t>K22</t>
        </is>
      </c>
      <c r="B23" s="71" t="inlineStr">
        <is>
          <t>Net interest income</t>
        </is>
      </c>
      <c r="C23" s="71" t="inlineStr">
        <is>
          <t>finance</t>
        </is>
      </c>
      <c r="D23" s="72" t="inlineStr">
        <is>
          <t>Interest earned on performing financing less interest accrued on deposits</t>
        </is>
      </c>
      <c r="E23" s="72" t="inlineStr">
        <is>
          <t>loan interest income - deposit interest expense (RM, accrual basis)</t>
        </is>
      </c>
      <c r="F23" s="71" t="inlineStr">
        <is>
          <t>CFO</t>
        </is>
      </c>
      <c r="G23" s="71" t="inlineStr">
        <is>
          <t>rm</t>
        </is>
      </c>
      <c r="H23" s="71" t="inlineStr">
        <is>
          <t>higher</t>
        </is>
      </c>
      <c r="I23" s="73" t="n">
        <v>0.1</v>
      </c>
      <c r="J23" s="80" t="n">
        <v>200000</v>
      </c>
      <c r="K23" s="72" t="inlineStr">
        <is>
          <t>FY2026 monthly average</t>
        </is>
      </c>
      <c r="L23" s="71" t="b">
        <v>0</v>
      </c>
      <c r="M23" s="71" t="inlineStr">
        <is>
          <t>kpi.finance_monthly</t>
        </is>
      </c>
      <c r="N23" s="71" t="inlineStr">
        <is>
          <t>net_interest_income</t>
        </is>
      </c>
      <c r="O23" s="71" t="inlineStr">
        <is>
          <t>Executive;Deposits</t>
        </is>
      </c>
    </row>
  </sheetData>
  <autoFilter ref="A1:O23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Kelip Bank BI pipeline</dc:creator>
  <dc:title>Kelip Bank KPI pack (synthetic data)</dc:title>
  <dcterms:created xsi:type="dcterms:W3CDTF">2026-09-01T00:00:00Z</dcterms:created>
  <dcterms:modified xsi:type="dcterms:W3CDTF">2026-09-01T00:00:00Z</dcterms:modified>
</cp:coreProperties>
</file>