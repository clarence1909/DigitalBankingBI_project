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nd 2024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7" fontId="3" fillId="2" borderId="0" pivotButton="0" quotePrefix="0" xfId="0"/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48" customWidth="1" min="27" max="27"/>
  </cols>
  <sheetData>
    <row r="1">
      <c r="A1" s="1" t="inlineStr">
        <is>
          <t>Kelip Bank - Marketing spend tracker</t>
        </is>
      </c>
    </row>
    <row r="2">
      <c r="A2" s="2" t="inlineStr">
        <is>
          <t>Owner: Growth team. All figures in RM. Updated by hand at month end.</t>
        </is>
      </c>
    </row>
    <row r="4">
      <c r="A4" s="3" t="inlineStr">
        <is>
          <t>Channel</t>
        </is>
      </c>
      <c r="B4" s="3" t="inlineStr">
        <is>
          <t>Sep-24</t>
        </is>
      </c>
      <c r="C4" s="3" t="inlineStr">
        <is>
          <t>Oct-24</t>
        </is>
      </c>
      <c r="D4" s="3" t="inlineStr">
        <is>
          <t>Nov-24</t>
        </is>
      </c>
      <c r="E4" s="3" t="inlineStr">
        <is>
          <t>Dec-24</t>
        </is>
      </c>
      <c r="F4" s="4" t="n">
        <v>45658</v>
      </c>
      <c r="G4" s="3" t="inlineStr">
        <is>
          <t>Feb-25</t>
        </is>
      </c>
      <c r="H4" s="3" t="inlineStr">
        <is>
          <t>Mar-25</t>
        </is>
      </c>
      <c r="I4" s="3" t="inlineStr">
        <is>
          <t>Apr-25</t>
        </is>
      </c>
      <c r="J4" s="3" t="inlineStr">
        <is>
          <t>May-25</t>
        </is>
      </c>
      <c r="K4" s="3" t="inlineStr">
        <is>
          <t>Jun-25</t>
        </is>
      </c>
      <c r="L4" s="4" t="n">
        <v>45839</v>
      </c>
      <c r="M4" s="3" t="inlineStr">
        <is>
          <t>Aug-25</t>
        </is>
      </c>
      <c r="N4" s="3" t="inlineStr">
        <is>
          <t>Sep-25</t>
        </is>
      </c>
      <c r="O4" s="3" t="inlineStr">
        <is>
          <t>Oct-25</t>
        </is>
      </c>
      <c r="P4" s="3" t="inlineStr">
        <is>
          <t>Nov-25</t>
        </is>
      </c>
      <c r="Q4" s="3" t="inlineStr">
        <is>
          <t>Dec-25</t>
        </is>
      </c>
      <c r="R4" s="4" t="n">
        <v>46023</v>
      </c>
      <c r="S4" s="3" t="inlineStr">
        <is>
          <t>Feb-26</t>
        </is>
      </c>
      <c r="T4" s="3" t="inlineStr">
        <is>
          <t>Mar-26</t>
        </is>
      </c>
      <c r="U4" s="3" t="inlineStr">
        <is>
          <t>Apr-26</t>
        </is>
      </c>
      <c r="V4" s="3" t="inlineStr">
        <is>
          <t>May-26</t>
        </is>
      </c>
      <c r="W4" s="3" t="inlineStr">
        <is>
          <t>Jun-26</t>
        </is>
      </c>
      <c r="X4" s="3" t="inlineStr">
        <is>
          <t>Jul-26</t>
        </is>
      </c>
      <c r="Y4" s="3" t="inlineStr">
        <is>
          <t>Aug-26</t>
        </is>
      </c>
      <c r="Z4" s="3" t="inlineStr">
        <is>
          <t>Total</t>
        </is>
      </c>
      <c r="AA4" s="3" t="inlineStr">
        <is>
          <t>Notes</t>
        </is>
      </c>
    </row>
    <row r="5">
      <c r="A5" s="5" t="inlineStr">
        <is>
          <t>Google Ads</t>
        </is>
      </c>
      <c r="B5" s="6" t="n">
        <v>7738.22</v>
      </c>
      <c r="C5" s="6" t="n">
        <v>7594.78</v>
      </c>
      <c r="D5" s="6" t="n">
        <v>9295.629999999999</v>
      </c>
      <c r="E5" s="6" t="n">
        <v>8786.35</v>
      </c>
      <c r="F5" s="6" t="n">
        <v>8737.389999999999</v>
      </c>
      <c r="G5" s="6" t="n">
        <v>8452.82</v>
      </c>
      <c r="H5" s="6" t="n">
        <v>10652.18</v>
      </c>
      <c r="I5" s="6" t="n">
        <v>10344.72</v>
      </c>
      <c r="J5" s="6" t="n">
        <v>9114</v>
      </c>
      <c r="K5" s="6" t="n">
        <v>9622.860000000001</v>
      </c>
      <c r="L5" s="6" t="n">
        <v>11568.38</v>
      </c>
      <c r="M5" s="6" t="n">
        <v>9982.459999999999</v>
      </c>
      <c r="N5" s="6" t="n">
        <v>11078.36</v>
      </c>
      <c r="O5" s="6" t="n">
        <v>11207.02</v>
      </c>
      <c r="P5" s="6" t="n">
        <v>13072.92</v>
      </c>
      <c r="Q5" s="6" t="n">
        <v>12240.46</v>
      </c>
      <c r="R5" s="6" t="n">
        <v>11305.23</v>
      </c>
      <c r="S5" s="6" t="n">
        <v>12301.99</v>
      </c>
      <c r="T5" s="6" t="n">
        <v>13082.2</v>
      </c>
      <c r="U5" s="6" t="n">
        <v>12649.25</v>
      </c>
      <c r="V5" s="6" t="n">
        <v>12525.98</v>
      </c>
      <c r="W5" s="6" t="n">
        <v>12510.52</v>
      </c>
      <c r="X5" s="6" t="n">
        <v>13295.9</v>
      </c>
      <c r="Y5" s="6" t="n">
        <v>13697.08</v>
      </c>
      <c r="Z5" s="5">
        <f>SUM(B5:Y5)</f>
        <v/>
      </c>
      <c r="AA5" s="5" t="inlineStr">
        <is>
          <t>Search campaigns, billed monthly</t>
        </is>
      </c>
    </row>
    <row r="6">
      <c r="A6" s="5" t="inlineStr">
        <is>
          <t>Facebook / Instagram</t>
        </is>
      </c>
      <c r="B6" s="6" t="n">
        <v>5235.42</v>
      </c>
      <c r="C6" s="6" t="n">
        <v>6152.16</v>
      </c>
      <c r="D6" s="6" t="n">
        <v>6055.99</v>
      </c>
      <c r="E6" s="6" t="n">
        <v>7292.99</v>
      </c>
      <c r="F6" s="6" t="n">
        <v>6071.7</v>
      </c>
      <c r="G6" s="6" t="n">
        <v>6149.31</v>
      </c>
      <c r="H6" s="6" t="n">
        <v>6696.28</v>
      </c>
      <c r="I6" s="6" t="n">
        <v>6824.17</v>
      </c>
      <c r="J6" s="6" t="n">
        <v>6768.67</v>
      </c>
      <c r="K6" s="6" t="n">
        <v>6862.76</v>
      </c>
      <c r="L6" s="5" t="inlineStr">
        <is>
          <t>8,018.16</t>
        </is>
      </c>
      <c r="M6" s="6" t="n">
        <v>7083.79</v>
      </c>
      <c r="N6" s="5" t="inlineStr">
        <is>
          <t>7,567.18</t>
        </is>
      </c>
      <c r="O6" s="6" t="n">
        <v>8336.030000000001</v>
      </c>
      <c r="P6" s="6" t="n">
        <v>8985.969999999999</v>
      </c>
      <c r="Q6" s="6" t="n">
        <v>8514.02</v>
      </c>
      <c r="R6" s="6" t="n">
        <v>8837.309999999999</v>
      </c>
      <c r="S6" s="6" t="n">
        <v>8588.18</v>
      </c>
      <c r="T6" s="6" t="n">
        <v>9621.67</v>
      </c>
      <c r="U6" s="6" t="n">
        <v>9754.530000000001</v>
      </c>
      <c r="V6" s="6" t="n">
        <v>8924.450000000001</v>
      </c>
      <c r="W6" s="6" t="n">
        <v>9399.25</v>
      </c>
      <c r="X6" s="6" t="n">
        <v>9997.23</v>
      </c>
      <c r="Y6" s="5" t="inlineStr">
        <is>
          <t>n/a</t>
        </is>
      </c>
      <c r="Z6" s="5">
        <f>SUM(B6:Y6)</f>
        <v/>
      </c>
      <c r="AA6" s="5" t="inlineStr">
        <is>
          <t>Meta Ads Manager invoices</t>
        </is>
      </c>
    </row>
    <row r="7">
      <c r="A7" s="5" t="inlineStr">
        <is>
          <t>TikTok</t>
        </is>
      </c>
      <c r="B7" s="6" t="n">
        <v>2328.65</v>
      </c>
      <c r="C7" s="6" t="n">
        <v>2512.33</v>
      </c>
      <c r="D7" s="6" t="n">
        <v>3246.44</v>
      </c>
      <c r="E7" s="6" t="n">
        <v>3365.74</v>
      </c>
      <c r="F7" s="5" t="inlineStr">
        <is>
          <t>3,237.83</t>
        </is>
      </c>
      <c r="G7" s="6" t="n">
        <v>3151.71</v>
      </c>
      <c r="H7" s="6" t="n">
        <v>3867.7</v>
      </c>
      <c r="I7" s="6" t="n">
        <v>3255.97</v>
      </c>
      <c r="J7" s="6" t="n">
        <v>4297.57</v>
      </c>
      <c r="K7" s="6" t="n">
        <v>3975.59</v>
      </c>
      <c r="L7" s="6" t="n">
        <v>4035.01</v>
      </c>
      <c r="M7" s="6" t="n">
        <v>5427.65</v>
      </c>
      <c r="N7" s="6" t="n">
        <v>4526.78</v>
      </c>
      <c r="O7" s="6" t="n">
        <v>4596.33</v>
      </c>
      <c r="P7" s="6" t="n">
        <v>5445.08</v>
      </c>
      <c r="Q7" s="6" t="n">
        <v>6341.2</v>
      </c>
      <c r="R7" s="6" t="n">
        <v>5237.36</v>
      </c>
      <c r="S7" s="6" t="n">
        <v>5573.55</v>
      </c>
      <c r="T7" s="6" t="n">
        <v>6096.5</v>
      </c>
      <c r="U7" s="6" t="n">
        <v>5474.94</v>
      </c>
      <c r="V7" s="6" t="n">
        <v>6284.92</v>
      </c>
      <c r="W7" s="5" t="inlineStr">
        <is>
          <t>RM 6,580.18</t>
        </is>
      </c>
      <c r="X7" s="6" t="n">
        <v>6919.5</v>
      </c>
      <c r="Y7" s="6" t="n">
        <v>6736.65</v>
      </c>
      <c r="Z7" s="5">
        <f>SUM(B7:Y7)</f>
        <v/>
      </c>
      <c r="AA7" s="5" t="inlineStr">
        <is>
          <t>Includes agency fee from Oct-25</t>
        </is>
      </c>
    </row>
    <row r="8">
      <c r="A8" s="5" t="inlineStr">
        <is>
          <t>Affiliate (cashback)</t>
        </is>
      </c>
      <c r="B8" s="6" t="n">
        <v>2868</v>
      </c>
      <c r="C8" s="6" t="n">
        <v>2940</v>
      </c>
      <c r="D8" s="6" t="n">
        <v>3390</v>
      </c>
      <c r="E8" s="6" t="n">
        <v>3192</v>
      </c>
      <c r="F8" s="6" t="n">
        <v>3318</v>
      </c>
      <c r="G8" s="6" t="n">
        <v>3084</v>
      </c>
      <c r="H8" s="6" t="n">
        <v>3426</v>
      </c>
      <c r="I8" s="6" t="n">
        <v>3030</v>
      </c>
      <c r="J8" s="6" t="n">
        <v>3048</v>
      </c>
      <c r="K8" s="6" t="n">
        <v>3444</v>
      </c>
      <c r="L8" s="6" t="n">
        <v>3606</v>
      </c>
      <c r="M8" s="6" t="n">
        <v>3156</v>
      </c>
      <c r="N8" s="6" t="n">
        <v>3408</v>
      </c>
      <c r="O8" s="5" t="inlineStr">
        <is>
          <t>3,732.00</t>
        </is>
      </c>
      <c r="P8" s="6" t="n">
        <v>3588</v>
      </c>
      <c r="Q8" s="6" t="n">
        <v>3948</v>
      </c>
      <c r="R8" s="6" t="n">
        <v>3804</v>
      </c>
      <c r="S8" s="5" t="inlineStr">
        <is>
          <t>3,570.00</t>
        </is>
      </c>
      <c r="T8" s="6" t="n">
        <v>4920</v>
      </c>
      <c r="U8" s="6" t="n">
        <v>3696</v>
      </c>
      <c r="V8" s="6" t="n">
        <v>4830</v>
      </c>
      <c r="W8" s="6" t="n">
        <v>4470</v>
      </c>
      <c r="X8" s="6" t="n">
        <v>4470</v>
      </c>
      <c r="Y8" s="6" t="n">
        <v>5136</v>
      </c>
      <c r="Z8" s="5">
        <f>SUM(B8:Y8)</f>
        <v/>
      </c>
      <c r="AA8" s="5" t="inlineStr">
        <is>
          <t>RM18 per account opened + RM1,500 platform fee</t>
        </is>
      </c>
    </row>
    <row r="9">
      <c r="A9" s="5" t="inlineStr">
        <is>
          <t>Referral programme</t>
        </is>
      </c>
      <c r="B9" s="6" t="n">
        <v>945</v>
      </c>
      <c r="C9" s="6" t="n">
        <v>735</v>
      </c>
      <c r="D9" s="6" t="n">
        <v>1295</v>
      </c>
      <c r="E9" s="6" t="n">
        <v>2240</v>
      </c>
      <c r="F9" s="6" t="n">
        <v>2835</v>
      </c>
      <c r="G9" s="6" t="n">
        <v>1645</v>
      </c>
      <c r="H9" s="6" t="n">
        <v>2625</v>
      </c>
      <c r="I9" s="5" t="inlineStr">
        <is>
          <t>RM 2,695.00</t>
        </is>
      </c>
      <c r="J9" s="6" t="n">
        <v>2835</v>
      </c>
      <c r="K9" s="6" t="n">
        <v>2975</v>
      </c>
      <c r="L9" s="6" t="n">
        <v>4060</v>
      </c>
      <c r="M9" s="6" t="n">
        <v>3395</v>
      </c>
      <c r="N9" s="6" t="n">
        <v>3290</v>
      </c>
      <c r="O9" s="6" t="n">
        <v>4375</v>
      </c>
      <c r="P9" s="6" t="n">
        <v>5075</v>
      </c>
      <c r="Q9" s="6" t="n">
        <v>5390</v>
      </c>
      <c r="R9" s="6" t="n">
        <v>5425</v>
      </c>
      <c r="S9" s="6" t="n">
        <v>5565</v>
      </c>
      <c r="T9" s="6" t="n">
        <v>5810</v>
      </c>
      <c r="U9" s="6" t="n">
        <v>5285</v>
      </c>
      <c r="V9" s="6" t="n">
        <v>7210</v>
      </c>
      <c r="W9" s="6" t="n">
        <v>7455</v>
      </c>
      <c r="X9" s="6" t="n">
        <v>7840</v>
      </c>
      <c r="Y9" s="6" t="n">
        <v>7035</v>
      </c>
      <c r="Z9" s="5">
        <f>SUM(B9:Y9)</f>
        <v/>
      </c>
      <c r="AA9" s="5" t="inlineStr">
        <is>
          <t>RM25 to referrer + RM10 to friend, per account opened</t>
        </is>
      </c>
    </row>
    <row r="10">
      <c r="A10" s="5" t="inlineStr">
        <is>
          <t>Organic / App Store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-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-</t>
        </is>
      </c>
      <c r="M10" s="5" t="inlineStr">
        <is>
          <t>-</t>
        </is>
      </c>
      <c r="N10" s="5" t="inlineStr">
        <is>
          <t>-</t>
        </is>
      </c>
      <c r="O10" s="5" t="inlineStr">
        <is>
          <t>-</t>
        </is>
      </c>
      <c r="P10" s="5" t="inlineStr">
        <is>
          <t>-</t>
        </is>
      </c>
      <c r="Q10" s="5" t="inlineStr">
        <is>
          <t>-</t>
        </is>
      </c>
      <c r="R10" s="5" t="inlineStr">
        <is>
          <t>-</t>
        </is>
      </c>
      <c r="S10" s="5" t="inlineStr">
        <is>
          <t>-</t>
        </is>
      </c>
      <c r="T10" s="5" t="inlineStr">
        <is>
          <t>-</t>
        </is>
      </c>
      <c r="U10" s="5" t="inlineStr">
        <is>
          <t>-</t>
        </is>
      </c>
      <c r="V10" s="5" t="inlineStr">
        <is>
          <t>-</t>
        </is>
      </c>
      <c r="W10" s="5" t="inlineStr">
        <is>
          <t>-</t>
        </is>
      </c>
      <c r="X10" s="5" t="inlineStr">
        <is>
          <t>-</t>
        </is>
      </c>
      <c r="Y10" s="5" t="inlineStr">
        <is>
          <t>-</t>
        </is>
      </c>
      <c r="Z10" s="5">
        <f>SUM(B10:Y10)</f>
        <v/>
      </c>
      <c r="AA10" s="5" t="inlineStr">
        <is>
          <t>No paid spend</t>
        </is>
      </c>
    </row>
    <row r="11">
      <c r="A11" s="5" t="inlineStr">
        <is>
          <t>FD Raya promo (in-app banners)</t>
        </is>
      </c>
      <c r="B11" s="5" t="n"/>
      <c r="C11" s="5" t="n"/>
      <c r="D11" s="5" t="n"/>
      <c r="E11" s="5" t="n"/>
      <c r="F11" s="5" t="n"/>
      <c r="G11" s="5" t="n"/>
      <c r="H11" s="6" t="n">
        <v>4800</v>
      </c>
      <c r="I11" s="5" t="inlineStr">
        <is>
          <t>5,200.00</t>
        </is>
      </c>
      <c r="J11" s="5" t="inlineStr">
        <is>
          <t>3,900.00</t>
        </is>
      </c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>
        <f>SUM(B11:Y11)</f>
        <v/>
      </c>
      <c r="AA11" s="5" t="inlineStr">
        <is>
          <t>Deposit campaign, not acquisition</t>
        </is>
      </c>
    </row>
    <row r="12">
      <c r="A12" s="5" t="inlineStr">
        <is>
          <t>Brand / PR</t>
        </is>
      </c>
      <c r="B12" s="6" t="n">
        <v>25000</v>
      </c>
      <c r="C12" s="5" t="n"/>
      <c r="D12" s="5" t="n"/>
      <c r="E12" s="5" t="n"/>
      <c r="F12" s="6" t="n">
        <v>6000</v>
      </c>
      <c r="G12" s="5" t="n"/>
      <c r="H12" s="6" t="n">
        <v>8000</v>
      </c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6" t="n">
        <v>6500</v>
      </c>
      <c r="S12" s="5" t="n"/>
      <c r="T12" s="6" t="n">
        <v>7500</v>
      </c>
      <c r="U12" s="5" t="n"/>
      <c r="V12" s="5" t="n"/>
      <c r="W12" s="5" t="n"/>
      <c r="X12" s="5" t="n"/>
      <c r="Y12" s="5" t="n"/>
      <c r="Z12" s="5">
        <f>SUM(B12:Y12)</f>
        <v/>
      </c>
      <c r="AA12" s="5" t="inlineStr">
        <is>
          <t>Launch event, festive brand ads</t>
        </is>
      </c>
    </row>
    <row r="14">
      <c r="A14" s="7" t="inlineStr">
        <is>
          <t>TOTAL</t>
        </is>
      </c>
      <c r="B14" s="8" t="n">
        <v>44115.29</v>
      </c>
      <c r="C14" s="8" t="n">
        <v>19934.27</v>
      </c>
      <c r="D14" s="8" t="n">
        <v>23283.06</v>
      </c>
      <c r="E14" s="8" t="n">
        <v>24877.08</v>
      </c>
      <c r="F14" s="8" t="n">
        <v>30199.92</v>
      </c>
      <c r="G14" s="8" t="n">
        <v>22482.84</v>
      </c>
      <c r="H14" s="8" t="n">
        <v>40067.16</v>
      </c>
      <c r="I14" s="8" t="n">
        <v>31349.86</v>
      </c>
      <c r="J14" s="8" t="n">
        <v>29963.24</v>
      </c>
      <c r="K14" s="8" t="n">
        <v>26880.21</v>
      </c>
      <c r="L14" s="8" t="n">
        <v>31287.55</v>
      </c>
      <c r="M14" s="8" t="n">
        <v>29044.9</v>
      </c>
      <c r="N14" s="8" t="n">
        <v>29870.32</v>
      </c>
      <c r="O14" s="8" t="n">
        <v>32246.38</v>
      </c>
      <c r="P14" s="8" t="n">
        <v>36166.97</v>
      </c>
      <c r="Q14" s="8" t="n">
        <v>36433.68</v>
      </c>
      <c r="R14" s="8" t="n">
        <v>41608.9</v>
      </c>
      <c r="S14" s="8" t="n">
        <v>35598.72</v>
      </c>
      <c r="T14" s="8" t="n">
        <v>47030.37</v>
      </c>
      <c r="U14" s="8" t="n">
        <v>36859.72</v>
      </c>
      <c r="V14" s="8" t="n">
        <v>39775.35</v>
      </c>
      <c r="W14" s="8" t="n">
        <v>40414.95</v>
      </c>
      <c r="X14" s="8" t="n">
        <v>42522.63</v>
      </c>
      <c r="Y14" s="8" t="n">
        <v>32604.73</v>
      </c>
    </row>
    <row r="16">
      <c r="A16" s="2" t="inlineStr">
        <is>
          <t>n/a = invoice not received yet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Growth team</dc:creator>
  <dcterms:created xsi:type="dcterms:W3CDTF">2026-09-01T00:00:00Z</dcterms:created>
  <dcterms:modified xsi:type="dcterms:W3CDTF">2026-09-01T00:00:00Z</dcterms:modified>
</cp:coreProperties>
</file>